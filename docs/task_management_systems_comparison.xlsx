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Feature Matrix" sheetId="2" r:id="rId6"/>
    <sheet state="visible" name="Platform Profiles" sheetId="3" r:id="rId7"/>
    <sheet state="visible" name="Enterprise Features" sheetId="4" r:id="rId8"/>
    <sheet state="visible" name="AI Capabilities" sheetId="5" r:id="rId9"/>
    <sheet state="visible" name="Integration Matrix" sheetId="6" r:id="rId10"/>
    <sheet state="visible" name="Scoring" sheetId="7" r:id="rId11"/>
    <sheet state="visible" name="Legend" sheetId="8" r:id="rId12"/>
    <sheet state="visible" name="Sources" sheetId="9" r:id="rId13"/>
  </sheets>
  <definedNames>
    <definedName hidden="1" localSheetId="3" name="Z_AD5F6ABE_9EBD_4178_A9BB_4161EE60F122_.wvu.FilterData">'Enterprise Features'!$A$3:$T$38</definedName>
    <definedName hidden="1" localSheetId="5" name="Z_8269A66D_1B4D_4104_8986_5BDE2A1CF170_.wvu.FilterData">'Integration Matrix'!$A$3:$AB$38</definedName>
    <definedName hidden="1" localSheetId="2" name="Z_2D8DE416_4F2C_457B_AD4E_EEB9A1990C84_.wvu.FilterData">'Platform Profiles'!$A$3:$I$38</definedName>
    <definedName hidden="1" localSheetId="1" name="Z_85E89E94_D761_4A32_B361_1F439E61CF02_.wvu.FilterData">'Feature Matrix'!$A$4:$EO$39</definedName>
    <definedName hidden="1" localSheetId="6" name="Z_959C2AB5_5985_41A8_B8C8_3976F2A19829_.wvu.FilterData">Scoring!$A$4:$N$39</definedName>
    <definedName hidden="1" localSheetId="7" name="Z_793AB7C4_5AE3_4D91_850D_60C3E4FDC62E_.wvu.FilterData">Legend!$A$10:$D$150</definedName>
    <definedName hidden="1" localSheetId="4" name="Z_0F6C6EE2_70D0_4358_A8BE_847902D97E3A_.wvu.FilterData">'AI Capabilities'!$A$3:$Q$38</definedName>
    <definedName hidden="1" localSheetId="8" name="Z_2A164395_8EA8_4A2C_A060_8BBE77E0C920_.wvu.FilterData">Sources!$A$3:$E$107</definedName>
  </definedNames>
  <calcPr/>
  <customWorkbookViews>
    <customWorkbookView activeSheetId="0" maximized="1" windowHeight="0" windowWidth="0" guid="{AD5F6ABE-9EBD-4178-A9BB-4161EE60F122}" name="EnterpriseFeaturesTable filter view"/>
    <customWorkbookView activeSheetId="0" maximized="1" windowHeight="0" windowWidth="0" guid="{8269A66D-1B4D-4104-8986-5BDE2A1CF170}" name="IntegrationMatrixTable filter view"/>
    <customWorkbookView activeSheetId="0" maximized="1" windowHeight="0" windowWidth="0" guid="{2D8DE416-4F2C-457B-AD4E-EEB9A1990C84}" name="PlatformProfilesTable filter view"/>
    <customWorkbookView activeSheetId="0" maximized="1" windowHeight="0" windowWidth="0" guid="{85E89E94-D761-4A32-B361-1F439E61CF02}" name="FeatureMatrixTable filter view"/>
    <customWorkbookView activeSheetId="0" maximized="1" windowHeight="0" windowWidth="0" guid="{959C2AB5-5985-41A8-B8C8-3976F2A19829}" name="ScoringTable filter view"/>
    <customWorkbookView activeSheetId="0" maximized="1" windowHeight="0" windowWidth="0" guid="{793AB7C4-5AE3-4D91-850D-60C3E4FDC62E}" name="FeatureDictionaryTable filter view"/>
    <customWorkbookView activeSheetId="0" maximized="1" windowHeight="0" windowWidth="0" guid="{0F6C6EE2-70D0-4358-A8BE-847902D97E3A}" name="AICapabilitiesTable filter view"/>
    <customWorkbookView activeSheetId="0" maximized="1" windowHeight="0" windowWidth="0" guid="{2A164395-8EA8-4A2C-A060-8BBE77E0C920}" name="SourcesTable filter view"/>
  </customWorkbookViews>
</workbook>
</file>

<file path=xl/sharedStrings.xml><?xml version="1.0" encoding="utf-8"?>
<sst xmlns="http://schemas.openxmlformats.org/spreadsheetml/2006/main" count="2254" uniqueCount="782">
  <si>
    <t>Task Management Systems Reference Guide</t>
  </si>
  <si>
    <t>Research date</t>
  </si>
  <si>
    <t>2026-07-15</t>
  </si>
  <si>
    <t>Platforms compared</t>
  </si>
  <si>
    <t>Feature criteria</t>
  </si>
  <si>
    <t>Scoring scale</t>
  </si>
  <si>
    <t>0=None/unknown, 1=limited/add-on, 2=native/standard, 3=advanced/native</t>
  </si>
  <si>
    <t>Scope</t>
  </si>
  <si>
    <t>Task, project, agile, workflow, enterprise, developer, integration, and AI/agentic capabilities</t>
  </si>
  <si>
    <t>Caveat</t>
  </si>
  <si>
    <t>Scores reflect public documentation and product positioning as of the research date; plan-level availability varies.</t>
  </si>
  <si>
    <t>Source handling</t>
  </si>
  <si>
    <t>Platform source URLs are included in Platform Profiles and Sources.</t>
  </si>
  <si>
    <t>Top 10 Overall Scores</t>
  </si>
  <si>
    <t>Category</t>
  </si>
  <si>
    <t>Overall</t>
  </si>
  <si>
    <t>Status</t>
  </si>
  <si>
    <t>Average Score</t>
  </si>
  <si>
    <t>Interpretation</t>
  </si>
  <si>
    <t>ClickUp</t>
  </si>
  <si>
    <t>General Work Management</t>
  </si>
  <si>
    <t>Active</t>
  </si>
  <si>
    <t>Core Work Items</t>
  </si>
  <si>
    <t>Strong across market</t>
  </si>
  <si>
    <t>Jira Software</t>
  </si>
  <si>
    <t>Traditional Issue Tracking / Agile</t>
  </si>
  <si>
    <t>Planning &amp; Views</t>
  </si>
  <si>
    <t>Mixed maturity</t>
  </si>
  <si>
    <t>ServiceNow SPM</t>
  </si>
  <si>
    <t>Enterprise PPM / Service Workflows</t>
  </si>
  <si>
    <t>Agile &amp; Product</t>
  </si>
  <si>
    <t>Wrike</t>
  </si>
  <si>
    <t>General Work Management / Enterprise</t>
  </si>
  <si>
    <t>Workflow &amp; Automation</t>
  </si>
  <si>
    <t>Asana</t>
  </si>
  <si>
    <t>Collaboration &amp; Knowledge</t>
  </si>
  <si>
    <t>Fibery</t>
  </si>
  <si>
    <t>Database-Centric / Product OS</t>
  </si>
  <si>
    <t>Reporting &amp; Analytics</t>
  </si>
  <si>
    <t>Azure DevOps Boards</t>
  </si>
  <si>
    <t>Enterprise &amp; Security</t>
  </si>
  <si>
    <t>GitLab Plan</t>
  </si>
  <si>
    <t>Developer-Native / DevSecOps</t>
  </si>
  <si>
    <t>Developer &amp; DevOps</t>
  </si>
  <si>
    <t>Specialized/limited</t>
  </si>
  <si>
    <t>IBM Targetprocess</t>
  </si>
  <si>
    <t>Enterprise Agile / SPM</t>
  </si>
  <si>
    <t>Integrations &amp; Extensibility</t>
  </si>
  <si>
    <t>Rally</t>
  </si>
  <si>
    <t>Enterprise Agile / Value Stream</t>
  </si>
  <si>
    <t>AI &amp; Agentic</t>
  </si>
  <si>
    <t>Feature Matrix: 35 platforms x 140 criteria</t>
  </si>
  <si>
    <t>Legend: 0=None/unknown, 1=limited/add-on, 2=native/standard, 3=advanced/native. Use filters to focus by platform or feature area.</t>
  </si>
  <si>
    <t>Platform</t>
  </si>
  <si>
    <t>Deployment</t>
  </si>
  <si>
    <t>Evidence Confidence</t>
  </si>
  <si>
    <t>Task/work item creation</t>
  </si>
  <si>
    <t>Issue/bug tracking</t>
  </si>
  <si>
    <t>Subtasks or child items</t>
  </si>
  <si>
    <t>Checklists</t>
  </si>
  <si>
    <t>Recurring tasks</t>
  </si>
  <si>
    <t>Custom fields</t>
  </si>
  <si>
    <t>Task templates</t>
  </si>
  <si>
    <t>Bulk edit</t>
  </si>
  <si>
    <t>Forms/intake</t>
  </si>
  <si>
    <t>Attachments</t>
  </si>
  <si>
    <t>Priority</t>
  </si>
  <si>
    <t>Labels/tags</t>
  </si>
  <si>
    <t>Due dates</t>
  </si>
  <si>
    <t>Activity history</t>
  </si>
  <si>
    <t>List/table view</t>
  </si>
  <si>
    <t>Kanban board</t>
  </si>
  <si>
    <t>Calendar view</t>
  </si>
  <si>
    <t>Timeline view</t>
  </si>
  <si>
    <t>Gantt chart</t>
  </si>
  <si>
    <t>Roadmap view</t>
  </si>
  <si>
    <t>Milestones</t>
  </si>
  <si>
    <t>Dependencies</t>
  </si>
  <si>
    <t>Critical path</t>
  </si>
  <si>
    <t>Resource planning</t>
  </si>
  <si>
    <t>Capacity planning</t>
  </si>
  <si>
    <t>Workload view</t>
  </si>
  <si>
    <t>Portfolio view</t>
  </si>
  <si>
    <t>Program/initiative hierarchy</t>
  </si>
  <si>
    <t>Goals/OKRs</t>
  </si>
  <si>
    <t>Budget/financial planning</t>
  </si>
  <si>
    <t>Backlog management</t>
  </si>
  <si>
    <t>Epics</t>
  </si>
  <si>
    <t>User stories</t>
  </si>
  <si>
    <t>Sprints/iterations</t>
  </si>
  <si>
    <t>Scrum support</t>
  </si>
  <si>
    <t>Kanban WIP limits</t>
  </si>
  <si>
    <t>Story points</t>
  </si>
  <si>
    <t>Velocity</t>
  </si>
  <si>
    <t>Burndown chart</t>
  </si>
  <si>
    <t>Release planning</t>
  </si>
  <si>
    <t>Product discovery</t>
  </si>
  <si>
    <t>Feedback intake/portal</t>
  </si>
  <si>
    <t>Prioritization scoring</t>
  </si>
  <si>
    <t>Scaled Agile/SAFe</t>
  </si>
  <si>
    <t>Custom statuses</t>
  </si>
  <si>
    <t>State transition rules</t>
  </si>
  <si>
    <t>Approval workflows</t>
  </si>
  <si>
    <t>No-code automations</t>
  </si>
  <si>
    <t>Conditional branching</t>
  </si>
  <si>
    <t>SLA management</t>
  </si>
  <si>
    <t>Request management</t>
  </si>
  <si>
    <t>Forms routing</t>
  </si>
  <si>
    <t>Recurring automation rules</t>
  </si>
  <si>
    <t>Notification rules</t>
  </si>
  <si>
    <t>Webhook triggers</t>
  </si>
  <si>
    <t>Custom scripts/functions</t>
  </si>
  <si>
    <t>External automation connectors</t>
  </si>
  <si>
    <t>Workflow templates</t>
  </si>
  <si>
    <t>Incident/service workflows</t>
  </si>
  <si>
    <t>Docs/wiki</t>
  </si>
  <si>
    <t>Rich text pages</t>
  </si>
  <si>
    <t>Real-time co-editing</t>
  </si>
  <si>
    <t>Mentions</t>
  </si>
  <si>
    <t>Native chat</t>
  </si>
  <si>
    <t>Whiteboards</t>
  </si>
  <si>
    <t>Meeting notes</t>
  </si>
  <si>
    <t>Decision logs</t>
  </si>
  <si>
    <t>File sharing</t>
  </si>
  <si>
    <t>Guest/client access</t>
  </si>
  <si>
    <t>Discussions/forums</t>
  </si>
  <si>
    <t>Knowledge base</t>
  </si>
  <si>
    <t>Comment resolution</t>
  </si>
  <si>
    <t>Public sharing</t>
  </si>
  <si>
    <t>Dashboards</t>
  </si>
  <si>
    <t>Custom reports</t>
  </si>
  <si>
    <t>Charts</t>
  </si>
  <si>
    <t>Time tracking</t>
  </si>
  <si>
    <t>Timesheets</t>
  </si>
  <si>
    <t>Estimates</t>
  </si>
  <si>
    <t>Cycle time</t>
  </si>
  <si>
    <t>Lead time</t>
  </si>
  <si>
    <t>Cumulative flow</t>
  </si>
  <si>
    <t>Workload reports</t>
  </si>
  <si>
    <t>Portfolio rollups</t>
  </si>
  <si>
    <t>Financial reports</t>
  </si>
  <si>
    <t>Export</t>
  </si>
  <si>
    <t>Saved filters</t>
  </si>
  <si>
    <t>SSO/SAML</t>
  </si>
  <si>
    <t>SCIM/user provisioning</t>
  </si>
  <si>
    <t>RBAC</t>
  </si>
  <si>
    <t>Granular permissions</t>
  </si>
  <si>
    <t>Audit logs</t>
  </si>
  <si>
    <t>Data residency</t>
  </si>
  <si>
    <t>SOC 2</t>
  </si>
  <si>
    <t>ISO 27001</t>
  </si>
  <si>
    <t>HIPAA/regulated support</t>
  </si>
  <si>
    <t>Encryption</t>
  </si>
  <si>
    <t>Admin console</t>
  </si>
  <si>
    <t>Retention/legal hold</t>
  </si>
  <si>
    <t>eDiscovery</t>
  </si>
  <si>
    <t>IP allowlisting</t>
  </si>
  <si>
    <t>On-prem/self-hosted option</t>
  </si>
  <si>
    <t>Published uptime/SLA</t>
  </si>
  <si>
    <t>GitHub integration</t>
  </si>
  <si>
    <t>GitLab integration</t>
  </si>
  <si>
    <t>Bitbucket integration</t>
  </si>
  <si>
    <t>Pull request links</t>
  </si>
  <si>
    <t>Commit links</t>
  </si>
  <si>
    <t>Branch linking/automation</t>
  </si>
  <si>
    <t>CI/CD integration</t>
  </si>
  <si>
    <t>Release management</t>
  </si>
  <si>
    <t>REST API</t>
  </si>
  <si>
    <t>GraphQL API</t>
  </si>
  <si>
    <t>CLI or SDK</t>
  </si>
  <si>
    <t>Webhooks</t>
  </si>
  <si>
    <t>Repository browsing</t>
  </si>
  <si>
    <t>Slack integration</t>
  </si>
  <si>
    <t>Microsoft Teams integration</t>
  </si>
  <si>
    <t>Email integration</t>
  </si>
  <si>
    <t>Google Workspace</t>
  </si>
  <si>
    <t>Microsoft 365</t>
  </si>
  <si>
    <t>Zapier</t>
  </si>
  <si>
    <t>Make</t>
  </si>
  <si>
    <t>n8n</t>
  </si>
  <si>
    <t>Marketplace/apps</t>
  </si>
  <si>
    <t>Plugin/extensions</t>
  </si>
  <si>
    <t>BI/data export</t>
  </si>
  <si>
    <t>AI writing/summarization</t>
  </si>
  <si>
    <t>AI task creation</t>
  </si>
  <si>
    <t>AI project generation</t>
  </si>
  <si>
    <t>AI prioritization</t>
  </si>
  <si>
    <t>AI scheduling</t>
  </si>
  <si>
    <t>Risk prediction</t>
  </si>
  <si>
    <t>AI search/Q&amp;A</t>
  </si>
  <si>
    <t>AI workflow builder</t>
  </si>
  <si>
    <t>Configurable AI agents</t>
  </si>
  <si>
    <t>Meeting notes to tasks</t>
  </si>
  <si>
    <t>Automated status updates</t>
  </si>
  <si>
    <t>Human/agent resource planning</t>
  </si>
  <si>
    <t>AI governance/admin controls</t>
  </si>
  <si>
    <t>SaaS; Data Center</t>
  </si>
  <si>
    <t>High</t>
  </si>
  <si>
    <t>SaaS; Azure DevOps Server</t>
  </si>
  <si>
    <t>GitHub Projects</t>
  </si>
  <si>
    <t>Developer-Native</t>
  </si>
  <si>
    <t>SaaS; GitHub Enterprise Server adjacent</t>
  </si>
  <si>
    <t>Linear</t>
  </si>
  <si>
    <t>SaaS</t>
  </si>
  <si>
    <t>SaaS; self-managed; dedicated</t>
  </si>
  <si>
    <t>monday work management</t>
  </si>
  <si>
    <t>Medium</t>
  </si>
  <si>
    <t>Trello</t>
  </si>
  <si>
    <t>Kanban / Lightweight Work Management</t>
  </si>
  <si>
    <t>Smartsheet</t>
  </si>
  <si>
    <t>Work Management / PMO</t>
  </si>
  <si>
    <t>Airtable</t>
  </si>
  <si>
    <t>Database-Centric Work Platform</t>
  </si>
  <si>
    <t>Notion</t>
  </si>
  <si>
    <t>Knowledge + Tasks</t>
  </si>
  <si>
    <t>Coda</t>
  </si>
  <si>
    <t>Knowledge + Tasks / App Builder</t>
  </si>
  <si>
    <t>Basecamp</t>
  </si>
  <si>
    <t>Team Collaboration / Lightweight PM</t>
  </si>
  <si>
    <t>Todoist</t>
  </si>
  <si>
    <t>Personal / Team Task Management</t>
  </si>
  <si>
    <t>Microsoft Planner</t>
  </si>
  <si>
    <t>Microsoft 365 Work Management</t>
  </si>
  <si>
    <t>SaaS in Microsoft 365</t>
  </si>
  <si>
    <t>Microsoft Project</t>
  </si>
  <si>
    <t>Enterprise PPM / Scheduling</t>
  </si>
  <si>
    <t>SaaS; desktop; Project Online</t>
  </si>
  <si>
    <t>Planview Portfolios</t>
  </si>
  <si>
    <t>Enterprise PPM / Value Stream</t>
  </si>
  <si>
    <t>YouTrack</t>
  </si>
  <si>
    <t>Developer-Native / Issue Tracking</t>
  </si>
  <si>
    <t>SaaS; self-hosted</t>
  </si>
  <si>
    <t>Shortcut</t>
  </si>
  <si>
    <t>Developer-Native / Product Engineering</t>
  </si>
  <si>
    <t>Zenhub</t>
  </si>
  <si>
    <t>Developer-Native / GitHub Agile</t>
  </si>
  <si>
    <t>SaaS; GitHub extension/app</t>
  </si>
  <si>
    <t>Plane</t>
  </si>
  <si>
    <t>Open Source / Developer-Native</t>
  </si>
  <si>
    <t>Redmine</t>
  </si>
  <si>
    <t>Open Source Issue Tracking</t>
  </si>
  <si>
    <t>Self-hosted</t>
  </si>
  <si>
    <t>OpenProject</t>
  </si>
  <si>
    <t>Open Source PM / Hybrid</t>
  </si>
  <si>
    <t>Taiga</t>
  </si>
  <si>
    <t>Open Source Agile</t>
  </si>
  <si>
    <t>Teamwork.com</t>
  </si>
  <si>
    <t>Client Services PM / PSA</t>
  </si>
  <si>
    <t>Zoho Projects</t>
  </si>
  <si>
    <t>General Project Management</t>
  </si>
  <si>
    <t>Motion</t>
  </si>
  <si>
    <t>AI-Native Scheduling / PM</t>
  </si>
  <si>
    <t>Taskade</t>
  </si>
  <si>
    <t>AI-Native Workspace</t>
  </si>
  <si>
    <t>Height</t>
  </si>
  <si>
    <t>AI-Native / Discontinued</t>
  </si>
  <si>
    <t>Discontinued Sep 2025</t>
  </si>
  <si>
    <t>Platform Profiles</t>
  </si>
  <si>
    <t>Pricing model</t>
  </si>
  <si>
    <t>Best fit</t>
  </si>
  <si>
    <t>Strengths</t>
  </si>
  <si>
    <t>Limitations</t>
  </si>
  <si>
    <t>Primary source URLs</t>
  </si>
  <si>
    <t>Free; paid per user; enterprise</t>
  </si>
  <si>
    <t>Software teams needing mature agile tracking, workflows, automation, and governance.</t>
  </si>
  <si>
    <t>Deep workflow customization, agile reporting, marketplace, enterprise controls, developer ecosystem.</t>
  </si>
  <si>
    <t>Configuration can become complex; advanced portfolio features often require Premium/Enterprise or Atlassian ecosystem products.</t>
  </si>
  <si>
    <t>https://www.atlassian.com/software/jira/features
https://www.atlassian.com/roadmap/cloud
https://confluence.atlassian.com/cloud/blog</t>
  </si>
  <si>
    <t>Free tier; Basic per user; server licensing</t>
  </si>
  <si>
    <t>Microsoft-centric engineering teams needing traceability across work, repos, pipelines, and tests.</t>
  </si>
  <si>
    <t>Strong work item model, backlogs, boards, sprints, Delivery Plans, dashboards, and DevOps traceability.</t>
  </si>
  <si>
    <t>Less polished for non-engineering work; AI features arrive mainly through broader Microsoft/GitHub ecosystem.</t>
  </si>
  <si>
    <t>https://azure.microsoft.com/en-us/products/devops/boards
https://learn.microsoft.com/en-us/azure/devops/boards/get-started/what-is-azure-boards?view=azure-devops
https://learn.microsoft.com/en-us/azure/devops/boards/work-items/about-work-items?view=azure-devops</t>
  </si>
  <si>
    <t>Included with GitHub plans; Enterprise features by plan</t>
  </si>
  <si>
    <t>Developer teams already living in GitHub issues, pull requests, and Actions.</t>
  </si>
  <si>
    <t>Tight issue/PR linkage, flexible table/board/roadmap views, code-native automation, broad API surface.</t>
  </si>
  <si>
    <t>Lighter than dedicated PM tools for portfolio, capacity, resourcing, workflow approvals, and reporting.</t>
  </si>
  <si>
    <t>https://github.com/features/issues
https://docs.github.com/issues/planning-and-tracking-with-projects/learning-about-projects/about-projects
https://docs.github.com/en/issues/planning-and-tracking-with-projects</t>
  </si>
  <si>
    <t>Product engineering teams that value speed, opinionated issue tracking, cycles, roadmaps, and AI-assisted product work.</t>
  </si>
  <si>
    <t>Fast UI, cycles, projects, initiatives, strong GitHub/Slack workflow, modern AI positioning.</t>
  </si>
  <si>
    <t>Less customizable and less enterprise-PPM oriented than Jira, ServiceNow, or Planview.</t>
  </si>
  <si>
    <t>https://linear.app/
https://linear.app/plan
https://linear.app/integrations</t>
  </si>
  <si>
    <t>Free; Premium; Ultimate</t>
  </si>
  <si>
    <t>Teams using GitLab as a single DevSecOps platform and wanting planning close to source, CI, security, and releases.</t>
  </si>
  <si>
    <t>Issues, epics, milestones, boards, roadmaps, releases, CI/CD and security context in one platform.</t>
  </si>
  <si>
    <t>Project-management UX is less flexible for broad business teams than work management platforms.</t>
  </si>
  <si>
    <t>https://docs.gitlab.com/user/group/epics/
https://docs.gitlab.com/user/group/roadmap/
https://about.gitlab.com/features/</t>
  </si>
  <si>
    <t>Free; paid tiers; Enterprise</t>
  </si>
  <si>
    <t>Cross-functional teams needing goals, portfolios, structured workflows, automation, and AI work orchestration.</t>
  </si>
  <si>
    <t>Excellent work graph, goals, portfolios, automation, reporting, forms, approvals, and AI Studio.</t>
  </si>
  <si>
    <t>Less developer-native than Jira/Linear/GitHub; advanced security and portfolio features vary by plan.</t>
  </si>
  <si>
    <t>https://asana.com/features
https://asana.com/product/ai
https://help.asana.com/s/article/learn-about-asana-advanced-features</t>
  </si>
  <si>
    <t>Free/Basic/Standard/Pro/Enterprise</t>
  </si>
  <si>
    <t>Business teams needing visual, configurable boards, automations, dashboards, and app-like workflows.</t>
  </si>
  <si>
    <t>Flexible boards, automations, dashboards, templates, integrations, and broad business use cases.</t>
  </si>
  <si>
    <t>Engineering-specific agile and DevOps depth often requires integrations or monday dev.</t>
  </si>
  <si>
    <t>https://monday.com/
https://monday.com/work-management
https://monday.com/features/automations</t>
  </si>
  <si>
    <t>Free; paid per user; Enterprise</t>
  </si>
  <si>
    <t>Teams wanting many work modes in one product: tasks, docs, goals, whiteboards, dashboards, chat, and AI.</t>
  </si>
  <si>
    <t>Broad feature coverage, docs/whiteboards/chat, hierarchy, dashboards, automations, ClickUp Brain.</t>
  </si>
  <si>
    <t>Breadth can create complexity; some advanced features vary by plan.</t>
  </si>
  <si>
    <t>https://clickup.com/
https://clickup.com/features
https://clickup.com/blog/ai-workflow-automation/</t>
  </si>
  <si>
    <t>Free; Standard; Premium; Enterprise</t>
  </si>
  <si>
    <t>Simple visual Kanban workflows and small-team coordination.</t>
  </si>
  <si>
    <t>Simple boards/cards, Power-Ups marketplace, Butler automation, accessible UX.</t>
  </si>
  <si>
    <t>Limited native portfolio, reporting, dependencies, resource planning, and agile metrics.</t>
  </si>
  <si>
    <t>https://trello.com/power-ups
https://trello.com/pricing
https://trello.com/enterprise</t>
  </si>
  <si>
    <t>Free; Team; Business; Enterprise; Pinnacle</t>
  </si>
  <si>
    <t>Enterprise marketing, operations, and services teams needing resource management, reporting, and automation.</t>
  </si>
  <si>
    <t>Gantt, dashboards, analytics, resource planning, request forms, approvals, AI risk and work intelligence.</t>
  </si>
  <si>
    <t>Engineering agile and DevOps workflows are less native than developer-focused tools.</t>
  </si>
  <si>
    <t>https://www.wrike.com/features/
https://www.wrike.com/
https://www.wrike.com/features/work-intelligence/</t>
  </si>
  <si>
    <t>Pro; Business; Enterprise; advanced add-ons</t>
  </si>
  <si>
    <t>PMOs and business teams that like spreadsheet-like control with dashboards, automations, and portfolio reporting.</t>
  </si>
  <si>
    <t>Sheets, forms, reports, dashboards, resource management, portfolio management, automation, enterprise controls.</t>
  </si>
  <si>
    <t>Less opinionated for software delivery; deeper agile product workflows usually need configuration or integrations.</t>
  </si>
  <si>
    <t>https://www.smartsheet.com/platform/features
https://www.smartsheet.com/solutions/project-management
https://www.smartsheet.com/</t>
  </si>
  <si>
    <t>Free; Team; Business; Enterprise Scale</t>
  </si>
  <si>
    <t>Teams building custom workflow apps and lightweight project systems on relational data.</t>
  </si>
  <si>
    <t>Flexible bases, interfaces, automations, forms, rich integrations, AI app building via Omni.</t>
  </si>
  <si>
    <t>Native agile/project controls are not as deep without templates/configuration.</t>
  </si>
  <si>
    <t>https://www.airtable.com/
https://www.airtable.com/platform/ai
https://support.airtable.com/docs/using-omni-ai-in-airtable</t>
  </si>
  <si>
    <t>Free; Plus; Business; Enterprise</t>
  </si>
  <si>
    <t>Teams combining docs, knowledge, lightweight projects, databases, and AI workspace search/agents.</t>
  </si>
  <si>
    <t>Docs, databases, wikis, tasks/projects, AI, enterprise search, flexible knowledge workflows.</t>
  </si>
  <si>
    <t>Less strong for advanced agile, portfolio, resource planning, and DevOps traceability.</t>
  </si>
  <si>
    <t>https://www.notion.com/
https://www.notion.com/pricing
https://www.notion.com/product/ai</t>
  </si>
  <si>
    <t>Free; Pro; Team; Enterprise</t>
  </si>
  <si>
    <t>Teams creating custom docs-as-apps for lightweight project tracking, team rituals, and operations.</t>
  </si>
  <si>
    <t>Docs, tables, formulas, buttons, automations, Packs, AI assistant for content and data.</t>
  </si>
  <si>
    <t>Advanced PM, agile metrics, and portfolio governance require custom modeling.</t>
  </si>
  <si>
    <t>https://coda.io/
https://coda.io/product/ai
https://help.superhuman.com/hc/en-us/articles/46210156957197-Using-Docs-AI</t>
  </si>
  <si>
    <t>Per user or flat company plan</t>
  </si>
  <si>
    <t>Small businesses and client teams that prefer simple projects, messages, to-dos, schedules, and files.</t>
  </si>
  <si>
    <t>Simple collaboration, message boards, to-dos, schedule, files, client access, fixed-price option.</t>
  </si>
  <si>
    <t>Limited automation, reporting, dependencies, advanced planning, agile, AI, and enterprise PMO capabilities.</t>
  </si>
  <si>
    <t>https://basecamp.com/
https://basecamp.com/pricing</t>
  </si>
  <si>
    <t>Free; Pro; Business</t>
  </si>
  <si>
    <t>Individuals and small teams needing fast task capture, recurring tasks, filters, labels, and lightweight collaboration.</t>
  </si>
  <si>
    <t>Excellent personal task capture, natural language scheduling, recurring dates, filters, labels, API and integrations.</t>
  </si>
  <si>
    <t>Not a full project/portfolio management system; limited reporting, agile, resource management, and enterprise governance.</t>
  </si>
  <si>
    <t>https://www.todoist.com/help/articles/introduction-to-filters-V98wIH
https://developer.todoist.com/api/v1/
https://www.todoist.com/integrations
https://www.todoist.com/help/articles/todoist-glossary-cA60laWMH</t>
  </si>
  <si>
    <t>Included in Microsoft 365; Premium plans</t>
  </si>
  <si>
    <t>Microsoft 365 teams needing simple boards through richer Planner Premium project capabilities.</t>
  </si>
  <si>
    <t>Tight Teams/To Do/Project integration, board/grid/charts/schedule views, portfolios in premium.</t>
  </si>
  <si>
    <t>Basic Planner is lightweight; advanced PPM/resource management sits in premium/Project family.</t>
  </si>
  <si>
    <t>https://www.microsoft.com/en-us/microsoft-365/planner/microsoft-planner
https://support.microsoft.com/en-us/planner/compare-microsoft-planner-basic-vs-premium-plans
https://support.microsoft.com/en-us/planner/manage-multiple-plans-with-portfolios-in-microsoft-planner</t>
  </si>
  <si>
    <t>Planner/Project paid plans; enterprise licensing</t>
  </si>
  <si>
    <t>Project managers and PMOs needing detailed schedules, resources, baselines, costs, and portfolio visibility.</t>
  </si>
  <si>
    <t>Advanced scheduling, dependencies, critical path, resources, baselines, portfolio and financial planning.</t>
  </si>
  <si>
    <t>Less natural for modern agile/product/dev workflows unless combined with Planner/Azure DevOps.</t>
  </si>
  <si>
    <t>https://www.microsoft.com/en-us/microsoft-365/planner/project-portfolio-management
https://learn.microsoft.com/en-us/office365/servicedescriptions/project-online-service-description/microsoft-project-online-service-description
https://www.microsoft.com/en-us/microsoft-365/planner/microsoft-planner-business-plans-and-pricing</t>
  </si>
  <si>
    <t>Enterprise quote</t>
  </si>
  <si>
    <t>Large enterprises aligning strategy, portfolios, demand, projects, agile work, resources, and service workflows.</t>
  </si>
  <si>
    <t>Strategic portfolio management, demand/resource/project portfolios, workflows, governance, enterprise platform controls.</t>
  </si>
  <si>
    <t>Heavyweight implementation; less suited to small teams or lightweight task management.</t>
  </si>
  <si>
    <t>https://www.servicenow.com/docs/r/it-business-management/r_ITBusinessManagement.html
https://www.servicenow.com/products/strategic-portfolio-management.html
https://www.servicenow.com/products/project-portfolio-management.html</t>
  </si>
  <si>
    <t>Enterprise portfolio, product, and resource leaders managing strategy-to-execution at scale.</t>
  </si>
  <si>
    <t>Strategic roadmaps, capacity, portfolio financials, product portfolio, resource management, agent resource management direction.</t>
  </si>
  <si>
    <t>PPM-centric; less natural for small-team daily task collaboration.</t>
  </si>
  <si>
    <t>https://www.planview.com/products-solutions/products/planview-portfolios/
https://www.planview.com/products-solutions/solutions/new-product-development/
https://www.businesswire.com/news/home/20260504618261/en/Planview-Launches-Agent-Resource-Management-Redefining-Portfolio-Resource-Management-for-the-AI-Era</t>
  </si>
  <si>
    <t>Large agile organizations practicing Scrum, Kanban, SAFe, portfolio Kanban, and value stream reporting.</t>
  </si>
  <si>
    <t>Enterprise agile hierarchy, portfolio Kanban, capacity planning, dependencies, risks, SAFe support.</t>
  </si>
  <si>
    <t>Specialized for agile software/value streams; not a general collaboration platform.</t>
  </si>
  <si>
    <t>https://www.broadcom.com/products/software/value-stream-management/rally
https://techdocs.broadcom.com/us/en/ca-enterprise-software/valueops/rally/rally-help/tracking/portfolio-kanban-board.html
https://ignite-tec.com/solutions/agile-valueops/rally/</t>
  </si>
  <si>
    <t>Organizations adopting SAFe, agile portfolio management, product funding, and strategy-to-execution alignment.</t>
  </si>
  <si>
    <t>Portfolio/program/team hierarchy, SAFe support, roadmaps, resource/investment alignment, flexible visualization.</t>
  </si>
  <si>
    <t>Enterprise-scale complexity; less oriented to lightweight personal/team task management.</t>
  </si>
  <si>
    <t>https://www.apptio.com/products/targetprocess/
https://www.apptio.com/solutions/agile/full-safe-tool/
https://newsroom.ibm.com/2023-08-09-Apptio-Launches-New-Targetprocess-Solutions-to-Accelerate-Agile-Transformations-and-Shift-from-Project-to-Product</t>
  </si>
  <si>
    <t>Free; paid per user</t>
  </si>
  <si>
    <t>Software teams needing flexible issue tracking, agile boards, workflows, reports, and a knowledge base.</t>
  </si>
  <si>
    <t>Custom workflows, agile boards, reports, time tracking, knowledge base, self-host option.</t>
  </si>
  <si>
    <t>Less broad enterprise PPM and business work management than larger platforms.</t>
  </si>
  <si>
    <t>https://www.jetbrains.com/youtrack/features/
https://www.jetbrains.com/youtrack/features/agile_project_management.html
https://www.jetbrains.com/youtrack/teams/development.html</t>
  </si>
  <si>
    <t>Product engineering teams wanting stories, epics, milestones, roadmaps, and simpler agile planning.</t>
  </si>
  <si>
    <t>Story-centric agile, epics, milestones, iterations, roadmaps, dev integrations.</t>
  </si>
  <si>
    <t>Less customizable and enterprise-heavy than Jira or Rally; limited general-work features.</t>
  </si>
  <si>
    <t>https://help.shortcut.com/hc/en-us/articles/4410865465748-Get-Started-with-the-Basics
https://www.shortcut.com/blog/alternatives-to-height-app/
https://www.shortcut.com/</t>
  </si>
  <si>
    <t>Team and Enterprise plans</t>
  </si>
  <si>
    <t>GitHub teams that want agile planning and reporting layered directly onto repositories.</t>
  </si>
  <si>
    <t>Native GitHub integration, boards, roadmaps, reports, automation and AI-enhanced project management.</t>
  </si>
  <si>
    <t>Best fit is GitHub-centric software teams; not broad business PMO.</t>
  </si>
  <si>
    <t>https://github.com/marketplace/zenhub
https://www.zenhub.com/blog-posts/zenhub-vs-github-projects-what-are-the-key-differences
https://www.techrepublic.com/article/zenhub-review/</t>
  </si>
  <si>
    <t>Free/open source; Business; Enterprise</t>
  </si>
  <si>
    <t>Teams wanting an open-source Linear/Jira-like product with issues, cycles, modules, pages, analytics, and AI direction.</t>
  </si>
  <si>
    <t>Open source, projects/issues, cycles, modules, pages, analytics, self-hosting, AI-native positioning.</t>
  </si>
  <si>
    <t>Younger ecosystem than Jira/Linear; enterprise and reporting depth still maturing.</t>
  </si>
  <si>
    <t>https://plane.so/
https://github.com/makeplane/plane
https://docs.plane.so/core-concepts/modules</t>
  </si>
  <si>
    <t>Open source; hosting/support via vendors</t>
  </si>
  <si>
    <t>Organizations wanting a mature self-hosted issue tracker with wiki, forums, time tracking, SCM integration.</t>
  </si>
  <si>
    <t>Open source, role permissions, flexible issue tracking, Gantt/calendar, wiki/forums, time tracking, SCM.</t>
  </si>
  <si>
    <t>Older UX; advanced agile/AI/enterprise cloud features depend on plugins or hosting vendors.</t>
  </si>
  <si>
    <t>https://www.redmine.org/
https://www.redmine.org/boards/2/topics/69414</t>
  </si>
  <si>
    <t>Community; Basic/Professional/Premium/Enterprise</t>
  </si>
  <si>
    <t>Organizations seeking open-source classic, agile, or hybrid project management with governance.</t>
  </si>
  <si>
    <t>Work packages, Gantt, boards, backlogs, time/cost tracking, wiki, meetings, self-hosting.</t>
  </si>
  <si>
    <t>AI and developer-native automation are less central than newer SaaS tools.</t>
  </si>
  <si>
    <t>https://www.openproject.org/
https://elest.io/open-source/openproject/resources/software-features</t>
  </si>
  <si>
    <t>Open source; SaaS plans</t>
  </si>
  <si>
    <t>Agile teams wanting a free/open-source Scrum and Kanban tool.</t>
  </si>
  <si>
    <t>Scrum, Kanban, backlog, epics, issues, wiki, self-hosting, simple agile UX.</t>
  </si>
  <si>
    <t>Limited enterprise PPM, automation, AI, reporting, and resource planning.</t>
  </si>
  <si>
    <t>https://taiga.io/
https://community.taiga.io/t/the-epics-wiki-meetup-icing-on-the-cake/126</t>
  </si>
  <si>
    <t>Free trial; paid per user tiers</t>
  </si>
  <si>
    <t>Agencies and client-service teams managing projects, budgets, resources, utilization, and profitability.</t>
  </si>
  <si>
    <t>Task management, time tracking, resource planning, utilization, budgets, client collaboration, reporting.</t>
  </si>
  <si>
    <t>Less engineering-native and less SAFe/DevOps oriented.</t>
  </si>
  <si>
    <t>https://www.teamwork.com/
https://www.teamwork.com/product/
https://www.teamwork.com/blog/project-management-software-buyers-guide/</t>
  </si>
  <si>
    <t>Free; Premium; Enterprise</t>
  </si>
  <si>
    <t>Cost-conscious teams that want conventional PM features plus Zoho ecosystem integration.</t>
  </si>
  <si>
    <t>Tasks, subtasks, dependencies, Gantt, time tracking, automation, issue tracking, reports.</t>
  </si>
  <si>
    <t>Less distinctive for developer-native or AI-agentic workflows than specialized tools.</t>
  </si>
  <si>
    <t>https://www.zoho.com/projects/
https://www.zoho.com/projects/tasks.html
https://www.zoho.com/projects/task-management/essential-features.html</t>
  </si>
  <si>
    <t>Individual and team paid plans</t>
  </si>
  <si>
    <t>Teams and individuals who want AI scheduling, automatic project/task planning, capacity balancing, and deadline prediction.</t>
  </si>
  <si>
    <t>AI task scheduling, AI project manager, automatic rescheduling, delay prediction, workload balancing.</t>
  </si>
  <si>
    <t>Not as broad as full enterprise PM suites for custom workflows, DevOps, docs, or portfolios.</t>
  </si>
  <si>
    <t>https://www.usemotion.com/
https://www.usemotion.com/features/ai-project-manager.html
https://www.usemotion.com/help</t>
  </si>
  <si>
    <t>Free; Pro/Team/Enterprise-like tiers</t>
  </si>
  <si>
    <t>Teams experimenting with AI-generated workspaces, agents, automations, and collaborative task/project views.</t>
  </si>
  <si>
    <t>AI agents, Genesis app builder, automations, real-time collaboration, multiple project views, memory/workspace context.</t>
  </si>
  <si>
    <t>Less traditional enterprise PPM and software DevOps depth.</t>
  </si>
  <si>
    <t>https://www.taskade.com/
https://www.taskade.com/ai/projects
https://www.taskade.com/wiki/taskade/ai-agents
https://www.taskade.com/wiki/taskade</t>
  </si>
  <si>
    <t>Free; Standard; Pro; Enterprise</t>
  </si>
  <si>
    <t>Product and operations teams that want a flexible connected work graph across product discovery, tasks, docs, reports, and automation.</t>
  </si>
  <si>
    <t>Custom databases, relations, formulas, boards/timelines/Gantt, reports, automations, docs, whiteboards, AI.</t>
  </si>
  <si>
    <t>Highly configurable; teams must model their own process more than with opinionated agile tools.</t>
  </si>
  <si>
    <t>https://fibery.io/
https://fibery.io/features
https://fibery.io/product-management
https://fibery.io/ai</t>
  </si>
  <si>
    <t>No longer available</t>
  </si>
  <si>
    <t>Historical reference for autonomous project management ideas: bug triage, backlog pruning, and spec updates.</t>
  </si>
  <si>
    <t>Pioneered autonomous project-management positioning for product teams.</t>
  </si>
  <si>
    <t>Discontinued; not suitable for new adoption.</t>
  </si>
  <si>
    <t>https://www.businesswire.com/news/home/20241008197812/en/Height.app-Unveils-First-Ever-Autonomous-Project-Collaboration-Tool-for-Product-Builders
https://www.shortcut.com/blog/alternatives-to-height-app/
https://productgrowth.in/tools/product-management/height/</t>
  </si>
  <si>
    <t>Enterprise Features</t>
  </si>
  <si>
    <t>Notes / Evidence URLs</t>
  </si>
  <si>
    <t>AI Capabilities</t>
  </si>
  <si>
    <t>Integration Matrix</t>
  </si>
  <si>
    <t>Scoring</t>
  </si>
  <si>
    <t>Formula-driven category scores. Each category is average(score)/3*100; Overall uses category weights; edit Feature Matrix scores to recalculate.</t>
  </si>
  <si>
    <t>Weights -&gt;</t>
  </si>
  <si>
    <t>Primary Category</t>
  </si>
  <si>
    <t>Overall Score</t>
  </si>
  <si>
    <t>Rank</t>
  </si>
  <si>
    <t>Legend and Feature Dictionary</t>
  </si>
  <si>
    <t>Score</t>
  </si>
  <si>
    <t>Meaning</t>
  </si>
  <si>
    <t>How to interpret</t>
  </si>
  <si>
    <t>None / Unknown</t>
  </si>
  <si>
    <t>No meaningful native support found in public material, or not applicable.</t>
  </si>
  <si>
    <t>Limited / Add-on</t>
  </si>
  <si>
    <t>Available only through workaround, marketplace app, integration, template, or narrow implementation.</t>
  </si>
  <si>
    <t>Native / Standard</t>
  </si>
  <si>
    <t>Supported natively for common use cases, possibly plan-limited.</t>
  </si>
  <si>
    <t>Advanced / Strong</t>
  </si>
  <si>
    <t>Mature native capability, broad coverage, or category-defining implementation.</t>
  </si>
  <si>
    <t>Feature Code</t>
  </si>
  <si>
    <t>Feature</t>
  </si>
  <si>
    <t>Weight</t>
  </si>
  <si>
    <t>CORE-01</t>
  </si>
  <si>
    <t>CORE-02</t>
  </si>
  <si>
    <t>CORE-03</t>
  </si>
  <si>
    <t>CORE-04</t>
  </si>
  <si>
    <t>CORE-05</t>
  </si>
  <si>
    <t>CORE-06</t>
  </si>
  <si>
    <t>CORE-07</t>
  </si>
  <si>
    <t>CORE-08</t>
  </si>
  <si>
    <t>CORE-09</t>
  </si>
  <si>
    <t>CORE-10</t>
  </si>
  <si>
    <t>CORE-11</t>
  </si>
  <si>
    <t>CORE-12</t>
  </si>
  <si>
    <t>CORE-13</t>
  </si>
  <si>
    <t>CORE-14</t>
  </si>
  <si>
    <t>PLAN-01</t>
  </si>
  <si>
    <t>PLAN-02</t>
  </si>
  <si>
    <t>PLAN-03</t>
  </si>
  <si>
    <t>PLAN-04</t>
  </si>
  <si>
    <t>PLAN-05</t>
  </si>
  <si>
    <t>PLAN-06</t>
  </si>
  <si>
    <t>PLAN-07</t>
  </si>
  <si>
    <t>PLAN-08</t>
  </si>
  <si>
    <t>PLAN-09</t>
  </si>
  <si>
    <t>PLAN-10</t>
  </si>
  <si>
    <t>PLAN-11</t>
  </si>
  <si>
    <t>PLAN-12</t>
  </si>
  <si>
    <t>PLAN-13</t>
  </si>
  <si>
    <t>PLAN-14</t>
  </si>
  <si>
    <t>PLAN-15</t>
  </si>
  <si>
    <t>PLAN-16</t>
  </si>
  <si>
    <t>AGIL-01</t>
  </si>
  <si>
    <t>AGIL-02</t>
  </si>
  <si>
    <t>AGIL-03</t>
  </si>
  <si>
    <t>AGIL-04</t>
  </si>
  <si>
    <t>AGIL-05</t>
  </si>
  <si>
    <t>AGIL-06</t>
  </si>
  <si>
    <t>AGIL-07</t>
  </si>
  <si>
    <t>AGIL-08</t>
  </si>
  <si>
    <t>AGIL-09</t>
  </si>
  <si>
    <t>AGIL-10</t>
  </si>
  <si>
    <t>AGIL-11</t>
  </si>
  <si>
    <t>AGIL-12</t>
  </si>
  <si>
    <t>AGIL-13</t>
  </si>
  <si>
    <t>AGIL-14</t>
  </si>
  <si>
    <t>WORK-01</t>
  </si>
  <si>
    <t>WORK-02</t>
  </si>
  <si>
    <t>WORK-03</t>
  </si>
  <si>
    <t>WORK-04</t>
  </si>
  <si>
    <t>WORK-05</t>
  </si>
  <si>
    <t>WORK-06</t>
  </si>
  <si>
    <t>WORK-07</t>
  </si>
  <si>
    <t>WORK-08</t>
  </si>
  <si>
    <t>WORK-09</t>
  </si>
  <si>
    <t>WORK-10</t>
  </si>
  <si>
    <t>WORK-11</t>
  </si>
  <si>
    <t>WORK-12</t>
  </si>
  <si>
    <t>WORK-13</t>
  </si>
  <si>
    <t>WORK-14</t>
  </si>
  <si>
    <t>WORK-15</t>
  </si>
  <si>
    <t>COLL-01</t>
  </si>
  <si>
    <t>COLL-02</t>
  </si>
  <si>
    <t>COLL-03</t>
  </si>
  <si>
    <t>COLL-04</t>
  </si>
  <si>
    <t>COLL-05</t>
  </si>
  <si>
    <t>COLL-06</t>
  </si>
  <si>
    <t>COLL-07</t>
  </si>
  <si>
    <t>COLL-08</t>
  </si>
  <si>
    <t>COLL-09</t>
  </si>
  <si>
    <t>COLL-10</t>
  </si>
  <si>
    <t>COLL-11</t>
  </si>
  <si>
    <t>COLL-12</t>
  </si>
  <si>
    <t>COLL-13</t>
  </si>
  <si>
    <t>COLL-14</t>
  </si>
  <si>
    <t>REPO-01</t>
  </si>
  <si>
    <t>REPO-02</t>
  </si>
  <si>
    <t>REPO-03</t>
  </si>
  <si>
    <t>REPO-04</t>
  </si>
  <si>
    <t>REPO-05</t>
  </si>
  <si>
    <t>REPO-06</t>
  </si>
  <si>
    <t>REPO-07</t>
  </si>
  <si>
    <t>REPO-08</t>
  </si>
  <si>
    <t>REPO-09</t>
  </si>
  <si>
    <t>REPO-10</t>
  </si>
  <si>
    <t>REPO-11</t>
  </si>
  <si>
    <t>REPO-12</t>
  </si>
  <si>
    <t>REPO-13</t>
  </si>
  <si>
    <t>REPO-14</t>
  </si>
  <si>
    <t>ENTE-01</t>
  </si>
  <si>
    <t>ENTE-02</t>
  </si>
  <si>
    <t>ENTE-03</t>
  </si>
  <si>
    <t>ENTE-04</t>
  </si>
  <si>
    <t>ENTE-05</t>
  </si>
  <si>
    <t>ENTE-06</t>
  </si>
  <si>
    <t>ENTE-07</t>
  </si>
  <si>
    <t>ENTE-08</t>
  </si>
  <si>
    <t>ENTE-09</t>
  </si>
  <si>
    <t>ENTE-10</t>
  </si>
  <si>
    <t>ENTE-11</t>
  </si>
  <si>
    <t>ENTE-12</t>
  </si>
  <si>
    <t>ENTE-13</t>
  </si>
  <si>
    <t>ENTE-14</t>
  </si>
  <si>
    <t>ENTE-15</t>
  </si>
  <si>
    <t>ENTE-16</t>
  </si>
  <si>
    <t>DEVE-01</t>
  </si>
  <si>
    <t>DEVE-02</t>
  </si>
  <si>
    <t>DEVE-03</t>
  </si>
  <si>
    <t>DEVE-04</t>
  </si>
  <si>
    <t>DEVE-05</t>
  </si>
  <si>
    <t>DEVE-06</t>
  </si>
  <si>
    <t>DEVE-07</t>
  </si>
  <si>
    <t>DEVE-08</t>
  </si>
  <si>
    <t>DEVE-09</t>
  </si>
  <si>
    <t>DEVE-10</t>
  </si>
  <si>
    <t>DEVE-11</t>
  </si>
  <si>
    <t>DEVE-12</t>
  </si>
  <si>
    <t>DEVE-13</t>
  </si>
  <si>
    <t>INTE-01</t>
  </si>
  <si>
    <t>INTE-02</t>
  </si>
  <si>
    <t>INTE-03</t>
  </si>
  <si>
    <t>INTE-04</t>
  </si>
  <si>
    <t>INTE-05</t>
  </si>
  <si>
    <t>INTE-06</t>
  </si>
  <si>
    <t>INTE-07</t>
  </si>
  <si>
    <t>INTE-08</t>
  </si>
  <si>
    <t>INTE-09</t>
  </si>
  <si>
    <t>INTE-10</t>
  </si>
  <si>
    <t>INTE-11</t>
  </si>
  <si>
    <t>AI-01</t>
  </si>
  <si>
    <t>AI-02</t>
  </si>
  <si>
    <t>AI-03</t>
  </si>
  <si>
    <t>AI-04</t>
  </si>
  <si>
    <t>AI-05</t>
  </si>
  <si>
    <t>AI-06</t>
  </si>
  <si>
    <t>AI-07</t>
  </si>
  <si>
    <t>AI-08</t>
  </si>
  <si>
    <t>AI-09</t>
  </si>
  <si>
    <t>AI-10</t>
  </si>
  <si>
    <t>AI-11</t>
  </si>
  <si>
    <t>AI-12</t>
  </si>
  <si>
    <t>AI-13</t>
  </si>
  <si>
    <t>Sources</t>
  </si>
  <si>
    <t>Source Type</t>
  </si>
  <si>
    <t>URL</t>
  </si>
  <si>
    <t>Notes</t>
  </si>
  <si>
    <t>Feature overview</t>
  </si>
  <si>
    <t>https://www.atlassian.com/software/jira/features</t>
  </si>
  <si>
    <t>Official or primary source where available; reputable secondary source used for discontinued or limited-public-doc products.</t>
  </si>
  <si>
    <t>Cloud roadmap / AI</t>
  </si>
  <si>
    <t>https://www.atlassian.com/roadmap/cloud</t>
  </si>
  <si>
    <t>Automation/security updates</t>
  </si>
  <si>
    <t>https://confluence.atlassian.com/cloud/blog</t>
  </si>
  <si>
    <t>Azure Boards product page</t>
  </si>
  <si>
    <t>https://azure.microsoft.com/en-us/products/devops/boards</t>
  </si>
  <si>
    <t>Microsoft Learn overview</t>
  </si>
  <si>
    <t>https://learn.microsoft.com/en-us/azure/devops/boards/get-started/what-is-azure-boards?view=azure-devops</t>
  </si>
  <si>
    <t>Work item types</t>
  </si>
  <si>
    <t>https://learn.microsoft.com/en-us/azure/devops/boards/work-items/about-work-items?view=azure-devops</t>
  </si>
  <si>
    <t>GitHub Issues</t>
  </si>
  <si>
    <t>https://github.com/features/issues</t>
  </si>
  <si>
    <t>About Projects</t>
  </si>
  <si>
    <t>https://docs.github.com/issues/planning-and-tracking-with-projects/learning-about-projects/about-projects</t>
  </si>
  <si>
    <t>Projects docs</t>
  </si>
  <si>
    <t>https://docs.github.com/en/issues/planning-and-tracking-with-projects</t>
  </si>
  <si>
    <t>Product homepage</t>
  </si>
  <si>
    <t>https://linear.app/</t>
  </si>
  <si>
    <t>Linear Plan</t>
  </si>
  <si>
    <t>https://linear.app/plan</t>
  </si>
  <si>
    <t>Integrations</t>
  </si>
  <si>
    <t>https://linear.app/integrations</t>
  </si>
  <si>
    <t>https://docs.gitlab.com/user/group/epics/</t>
  </si>
  <si>
    <t>Roadmaps</t>
  </si>
  <si>
    <t>https://docs.gitlab.com/user/group/roadmap/</t>
  </si>
  <si>
    <t>GitLab features</t>
  </si>
  <si>
    <t>https://about.gitlab.com/features/</t>
  </si>
  <si>
    <t>Features</t>
  </si>
  <si>
    <t>https://asana.com/features</t>
  </si>
  <si>
    <t>AI</t>
  </si>
  <si>
    <t>https://asana.com/product/ai</t>
  </si>
  <si>
    <t>Advanced features</t>
  </si>
  <si>
    <t>https://help.asana.com/s/article/learn-about-asana-advanced-features</t>
  </si>
  <si>
    <t>Homepage</t>
  </si>
  <si>
    <t>https://monday.com/</t>
  </si>
  <si>
    <t>Work management</t>
  </si>
  <si>
    <t>https://monday.com/work-management</t>
  </si>
  <si>
    <t>Automations</t>
  </si>
  <si>
    <t>https://monday.com/features/automations</t>
  </si>
  <si>
    <t>https://clickup.com/</t>
  </si>
  <si>
    <t>https://clickup.com/features</t>
  </si>
  <si>
    <t>AI workflow automation</t>
  </si>
  <si>
    <t>https://clickup.com/blog/ai-workflow-automation/</t>
  </si>
  <si>
    <t>Power-Ups</t>
  </si>
  <si>
    <t>https://trello.com/power-ups</t>
  </si>
  <si>
    <t>Pricing/features</t>
  </si>
  <si>
    <t>https://trello.com/pricing</t>
  </si>
  <si>
    <t>Enterprise</t>
  </si>
  <si>
    <t>https://trello.com/enterprise</t>
  </si>
  <si>
    <t>https://www.wrike.com/features/</t>
  </si>
  <si>
    <t>https://www.wrike.com/</t>
  </si>
  <si>
    <t>Work Intelligence</t>
  </si>
  <si>
    <t>https://www.wrike.com/features/work-intelligence/</t>
  </si>
  <si>
    <t>Platform features</t>
  </si>
  <si>
    <t>https://www.smartsheet.com/platform/features</t>
  </si>
  <si>
    <t>Project management</t>
  </si>
  <si>
    <t>https://www.smartsheet.com/solutions/project-management</t>
  </si>
  <si>
    <t>https://www.smartsheet.com/</t>
  </si>
  <si>
    <t>https://www.airtable.com/</t>
  </si>
  <si>
    <t>AI / Omni</t>
  </si>
  <si>
    <t>https://www.airtable.com/platform/ai</t>
  </si>
  <si>
    <t>Omni support</t>
  </si>
  <si>
    <t>https://support.airtable.com/docs/using-omni-ai-in-airtable</t>
  </si>
  <si>
    <t>https://www.notion.com/</t>
  </si>
  <si>
    <t>Pricing/projects</t>
  </si>
  <si>
    <t>https://www.notion.com/pricing</t>
  </si>
  <si>
    <t>https://www.notion.com/product/ai</t>
  </si>
  <si>
    <t>https://coda.io/</t>
  </si>
  <si>
    <t>https://coda.io/product/ai</t>
  </si>
  <si>
    <t>Docs AI change</t>
  </si>
  <si>
    <t>https://help.superhuman.com/hc/en-us/articles/46210156957197-Using-Docs-AI</t>
  </si>
  <si>
    <t>https://basecamp.com/</t>
  </si>
  <si>
    <t>https://basecamp.com/pricing</t>
  </si>
  <si>
    <t>Filters</t>
  </si>
  <si>
    <t>https://www.todoist.com/help/articles/introduction-to-filters-V98wIH</t>
  </si>
  <si>
    <t>API</t>
  </si>
  <si>
    <t>https://developer.todoist.com/api/v1/</t>
  </si>
  <si>
    <t>https://www.todoist.com/integrations</t>
  </si>
  <si>
    <t>Glossary / Assist</t>
  </si>
  <si>
    <t>https://www.todoist.com/help/articles/todoist-glossary-cA60laWMH</t>
  </si>
  <si>
    <t>Planner</t>
  </si>
  <si>
    <t>https://www.microsoft.com/en-us/microsoft-365/planner/microsoft-planner</t>
  </si>
  <si>
    <t>Plan comparison</t>
  </si>
  <si>
    <t>https://support.microsoft.com/en-us/planner/compare-microsoft-planner-basic-vs-premium-plans</t>
  </si>
  <si>
    <t>Portfolios</t>
  </si>
  <si>
    <t>https://support.microsoft.com/en-us/planner/manage-multiple-plans-with-portfolios-in-microsoft-planner</t>
  </si>
  <si>
    <t>Project portfolio management</t>
  </si>
  <si>
    <t>https://www.microsoft.com/en-us/microsoft-365/planner/project-portfolio-management</t>
  </si>
  <si>
    <t>Project Online service description</t>
  </si>
  <si>
    <t>https://learn.microsoft.com/en-us/office365/servicedescriptions/project-online-service-description/microsoft-project-online-service-description</t>
  </si>
  <si>
    <t>Planner pricing</t>
  </si>
  <si>
    <t>https://www.microsoft.com/en-us/microsoft-365/planner/microsoft-planner-business-plans-and-pricing</t>
  </si>
  <si>
    <t>SPM docs</t>
  </si>
  <si>
    <t>https://www.servicenow.com/docs/r/it-business-management/r_ITBusinessManagement.html</t>
  </si>
  <si>
    <t>SPM product</t>
  </si>
  <si>
    <t>https://www.servicenow.com/products/strategic-portfolio-management.html</t>
  </si>
  <si>
    <t>PPM product</t>
  </si>
  <si>
    <t>https://www.servicenow.com/products/project-portfolio-management.html</t>
  </si>
  <si>
    <t>https://www.planview.com/products-solutions/products/planview-portfolios/</t>
  </si>
  <si>
    <t>Product development</t>
  </si>
  <si>
    <t>https://www.planview.com/products-solutions/solutions/new-product-development/</t>
  </si>
  <si>
    <t>Agent resource management</t>
  </si>
  <si>
    <t>https://www.businesswire.com/news/home/20260504618261/en/Planview-Launches-Agent-Resource-Management-Redefining-Portfolio-Resource-Management-for-the-AI-Era</t>
  </si>
  <si>
    <t>Rally product</t>
  </si>
  <si>
    <t>https://www.broadcom.com/products/software/value-stream-management/rally</t>
  </si>
  <si>
    <t>Portfolio Kanban</t>
  </si>
  <si>
    <t>https://techdocs.broadcom.com/us/en/ca-enterprise-software/valueops/rally/rally-help/tracking/portfolio-kanban-board.html</t>
  </si>
  <si>
    <t>Rally overview</t>
  </si>
  <si>
    <t>https://ignite-tec.com/solutions/agile-valueops/rally/</t>
  </si>
  <si>
    <t>Targetprocess</t>
  </si>
  <si>
    <t>https://www.apptio.com/products/targetprocess/</t>
  </si>
  <si>
    <t>SAFe tool</t>
  </si>
  <si>
    <t>https://www.apptio.com/solutions/agile/full-safe-tool/</t>
  </si>
  <si>
    <t>IBM launch</t>
  </si>
  <si>
    <t>https://newsroom.ibm.com/2023-08-09-Apptio-Launches-New-Targetprocess-Solutions-to-Accelerate-Agile-Transformations-and-Shift-from-Project-to-Product</t>
  </si>
  <si>
    <t>https://www.jetbrains.com/youtrack/features/</t>
  </si>
  <si>
    <t>Agile features</t>
  </si>
  <si>
    <t>https://www.jetbrains.com/youtrack/features/agile_project_management.html</t>
  </si>
  <si>
    <t>Development teams</t>
  </si>
  <si>
    <t>https://www.jetbrains.com/youtrack/teams/development.html</t>
  </si>
  <si>
    <t>Basics</t>
  </si>
  <si>
    <t>https://help.shortcut.com/hc/en-us/articles/4410865465748-Get-Started-with-the-Basics</t>
  </si>
  <si>
    <t>Height alternatives / PM comparison</t>
  </si>
  <si>
    <t>https://www.shortcut.com/blog/alternatives-to-height-app/</t>
  </si>
  <si>
    <t>https://www.shortcut.com/</t>
  </si>
  <si>
    <t>GitHub Marketplace</t>
  </si>
  <si>
    <t>https://github.com/marketplace/zenhub</t>
  </si>
  <si>
    <t>Zenhub vs GitHub Projects</t>
  </si>
  <si>
    <t>https://www.zenhub.com/blog-posts/zenhub-vs-github-projects-what-are-the-key-differences</t>
  </si>
  <si>
    <t>TechRepublic review</t>
  </si>
  <si>
    <t>https://www.techrepublic.com/article/zenhub-review/</t>
  </si>
  <si>
    <t>https://plane.so/</t>
  </si>
  <si>
    <t>GitHub repository</t>
  </si>
  <si>
    <t>https://github.com/makeplane/plane</t>
  </si>
  <si>
    <t>Modules docs</t>
  </si>
  <si>
    <t>https://docs.plane.so/core-concepts/modules</t>
  </si>
  <si>
    <t>Redmine overview/features</t>
  </si>
  <si>
    <t>https://www.redmine.org/</t>
  </si>
  <si>
    <t>Issue model discussion</t>
  </si>
  <si>
    <t>https://www.redmine.org/boards/2/topics/69414</t>
  </si>
  <si>
    <t>https://www.openproject.org/</t>
  </si>
  <si>
    <t>https://elest.io/open-source/openproject/resources/software-features</t>
  </si>
  <si>
    <t>https://taiga.io/</t>
  </si>
  <si>
    <t>Community epics/wiki</t>
  </si>
  <si>
    <t>https://community.taiga.io/t/the-epics-wiki-meetup-icing-on-the-cake/126</t>
  </si>
  <si>
    <t>https://www.teamwork.com/</t>
  </si>
  <si>
    <t>Product tour</t>
  </si>
  <si>
    <t>https://www.teamwork.com/product/</t>
  </si>
  <si>
    <t>Buyers guide</t>
  </si>
  <si>
    <t>https://www.teamwork.com/blog/project-management-software-buyers-guide/</t>
  </si>
  <si>
    <t>https://www.zoho.com/projects/</t>
  </si>
  <si>
    <t>Task management</t>
  </si>
  <si>
    <t>https://www.zoho.com/projects/tasks.html</t>
  </si>
  <si>
    <t>Essential features</t>
  </si>
  <si>
    <t>https://www.zoho.com/projects/task-management/essential-features.html</t>
  </si>
  <si>
    <t>https://www.usemotion.com/</t>
  </si>
  <si>
    <t>AI Project Manager</t>
  </si>
  <si>
    <t>https://www.usemotion.com/features/ai-project-manager.html</t>
  </si>
  <si>
    <t>Help Center</t>
  </si>
  <si>
    <t>https://www.usemotion.com/help</t>
  </si>
  <si>
    <t>https://www.taskade.com/</t>
  </si>
  <si>
    <t>AI projects</t>
  </si>
  <si>
    <t>https://www.taskade.com/ai/projects</t>
  </si>
  <si>
    <t>AI agents</t>
  </si>
  <si>
    <t>https://www.taskade.com/wiki/taskade/ai-agents</t>
  </si>
  <si>
    <t>Features wiki</t>
  </si>
  <si>
    <t>https://www.taskade.com/wiki/taskade</t>
  </si>
  <si>
    <t>https://fibery.io/</t>
  </si>
  <si>
    <t>https://fibery.io/features</t>
  </si>
  <si>
    <t>Product management</t>
  </si>
  <si>
    <t>https://fibery.io/product-management</t>
  </si>
  <si>
    <t>https://fibery.io/ai</t>
  </si>
  <si>
    <t>Launch announcement</t>
  </si>
  <si>
    <t>https://www.businesswire.com/news/home/20241008197812/en/Height.app-Unveils-First-Ever-Autonomous-Project-Collaboration-Tool-for-Product-Builders</t>
  </si>
  <si>
    <t>Shutdown/alternatives</t>
  </si>
  <si>
    <t>Discontinued profile</t>
  </si>
  <si>
    <t>https://productgrowth.in/tools/product-management/height/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</si>
</sst>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rgb="FF000000"/>
      <name val="Carlito"/>
      <scheme val="minor"/>
    </font>
    <font>
      <b/>
      <sz val="15.0"/>
      <color rgb="FFFFFFFF"/>
      <name val="Carlito"/>
    </font>
    <font>
      <b/>
      <sz val="11.0"/>
      <color theme="1"/>
      <name val="Carlito"/>
    </font>
    <font>
      <color theme="1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i/>
      <sz val="11.0"/>
      <color rgb="FF334155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8"/>
        <bgColor rgb="FFEAF1F8"/>
      </patternFill>
    </fill>
    <fill>
      <patternFill patternType="solid">
        <fgColor rgb="FF24496B"/>
        <bgColor rgb="FF24496B"/>
      </patternFill>
    </fill>
    <fill>
      <patternFill patternType="solid">
        <fgColor rgb="FFF6F8FA"/>
        <bgColor rgb="FFF6F8FA"/>
      </patternFill>
    </fill>
  </fills>
  <borders count="9">
    <border/>
    <border>
      <left style="thin">
        <color rgb="FFB8C4D0"/>
      </left>
      <top style="thin">
        <color rgb="FFB8C4D0"/>
      </top>
    </border>
    <border>
      <top style="thin">
        <color rgb="FFB8C4D0"/>
      </top>
    </border>
    <border>
      <right style="thin">
        <color rgb="FFB8C4D0"/>
      </right>
      <top style="thin">
        <color rgb="FFB8C4D0"/>
      </top>
    </border>
    <border>
      <left style="thin">
        <color rgb="FFB8C4D0"/>
      </left>
    </border>
    <border>
      <right style="thin">
        <color rgb="FFB8C4D0"/>
      </right>
    </border>
    <border>
      <left style="thin">
        <color rgb="FFB8C4D0"/>
      </left>
      <bottom style="thin">
        <color rgb="FFB8C4D0"/>
      </bottom>
    </border>
    <border>
      <bottom style="thin">
        <color rgb="FFB8C4D0"/>
      </bottom>
    </border>
    <border>
      <right style="thin">
        <color rgb="FFB8C4D0"/>
      </right>
      <bottom style="thin">
        <color rgb="FFB8C4D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0" fontId="3" numFmtId="0" xfId="0" applyFont="1"/>
    <xf borderId="1" fillId="4" fontId="4" numFmtId="0" xfId="0" applyAlignment="1" applyBorder="1" applyFill="1" applyFont="1">
      <alignment shrinkToFit="0" wrapText="1"/>
    </xf>
    <xf borderId="2" fillId="4" fontId="4" numFmtId="0" xfId="0" applyAlignment="1" applyBorder="1" applyFont="1">
      <alignment shrinkToFit="0" wrapText="1"/>
    </xf>
    <xf borderId="3" fillId="4" fontId="4" numFmtId="0" xfId="0" applyAlignment="1" applyBorder="1" applyFont="1">
      <alignment shrinkToFit="0" wrapText="1"/>
    </xf>
    <xf borderId="4" fillId="0" fontId="5" numFmtId="0" xfId="0" applyBorder="1" applyFont="1"/>
    <xf borderId="0" fillId="0" fontId="5" numFmtId="0" xfId="0" applyFont="1"/>
    <xf borderId="0" fillId="0" fontId="5" numFmtId="164" xfId="0" applyFont="1" applyNumberForma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7" fillId="0" fontId="5" numFmtId="164" xfId="0" applyBorder="1" applyFont="1" applyNumberFormat="1"/>
    <xf borderId="8" fillId="0" fontId="5" numFmtId="0" xfId="0" applyBorder="1" applyFont="1"/>
    <xf borderId="0" fillId="5" fontId="6" numFmtId="0" xfId="0" applyFill="1" applyFont="1"/>
    <xf borderId="0" fillId="4" fontId="4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vertical="center" wrapText="1"/>
    </xf>
    <xf borderId="0" fillId="0" fontId="5" numFmtId="164" xfId="0" applyAlignment="1" applyFont="1" applyNumberFormat="1">
      <alignment shrinkToFit="0" vertical="center" wrapText="0"/>
    </xf>
    <xf borderId="0" fillId="0" fontId="5" numFmtId="1" xfId="0" applyAlignment="1" applyFont="1" applyNumberFormat="1">
      <alignment shrinkToFit="0" vertical="center" wrapText="0"/>
    </xf>
    <xf borderId="0" fillId="4" fontId="4" numFmtId="0" xfId="0" applyAlignment="1" applyFont="1">
      <alignment shrinkToFit="0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7F1D1D"/>
      </font>
      <fill>
        <patternFill patternType="solid">
          <fgColor rgb="FFFEE2E2"/>
          <bgColor rgb="FFFEE2E2"/>
        </patternFill>
      </fill>
      <border/>
    </dxf>
    <dxf>
      <font>
        <color rgb="FF78350F"/>
      </font>
      <fill>
        <patternFill patternType="solid">
          <fgColor rgb="FFFEF3C7"/>
          <bgColor rgb="FFFEF3C7"/>
        </patternFill>
      </fill>
      <border/>
    </dxf>
    <dxf>
      <font>
        <color rgb="FF1E3A8A"/>
      </font>
      <fill>
        <patternFill patternType="solid">
          <fgColor rgb="FFDBEAFE"/>
          <bgColor rgb="FFDBEAFE"/>
        </patternFill>
      </fill>
      <border/>
    </dxf>
    <dxf>
      <font>
        <color rgb="FF14532D"/>
      </font>
      <fill>
        <patternFill patternType="solid">
          <fgColor rgb="FFDCFCE7"/>
          <bgColor rgb="FFDCFCE7"/>
        </patternFill>
      </fill>
      <border/>
    </dxf>
  </dxfs>
  <tableStyles count="8">
    <tableStyle count="4" pivot="0" name="Feature Matri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tform Profi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terprise Featu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I Capabilit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tegration Matri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or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gen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urc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EO39" displayName="FeatureMatrixTable" name="FeatureMatrixTable" id="1">
  <tableColumns count="145">
    <tableColumn name="Platform" id="1"/>
    <tableColumn name="Category" id="2"/>
    <tableColumn name="Deployment" id="3"/>
    <tableColumn name="Status" id="4"/>
    <tableColumn name="Evidence Confidence" id="5"/>
    <tableColumn name="Task/work item creation" id="6"/>
    <tableColumn name="Issue/bug tracking" id="7"/>
    <tableColumn name="Subtasks or child items" id="8"/>
    <tableColumn name="Checklists" id="9"/>
    <tableColumn name="Recurring tasks" id="10"/>
    <tableColumn name="Custom fields" id="11"/>
    <tableColumn name="Task templates" id="12"/>
    <tableColumn name="Bulk edit" id="13"/>
    <tableColumn name="Forms/intake" id="14"/>
    <tableColumn name="Attachments" id="15"/>
    <tableColumn name="Priority" id="16"/>
    <tableColumn name="Labels/tags" id="17"/>
    <tableColumn name="Due dates" id="18"/>
    <tableColumn name="Activity history" id="19"/>
    <tableColumn name="List/table view" id="20"/>
    <tableColumn name="Kanban board" id="21"/>
    <tableColumn name="Calendar view" id="22"/>
    <tableColumn name="Timeline view" id="23"/>
    <tableColumn name="Gantt chart" id="24"/>
    <tableColumn name="Roadmap view" id="25"/>
    <tableColumn name="Milestones" id="26"/>
    <tableColumn name="Dependencies" id="27"/>
    <tableColumn name="Critical path" id="28"/>
    <tableColumn name="Resource planning" id="29"/>
    <tableColumn name="Capacity planning" id="30"/>
    <tableColumn name="Workload view" id="31"/>
    <tableColumn name="Portfolio view" id="32"/>
    <tableColumn name="Program/initiative hierarchy" id="33"/>
    <tableColumn name="Goals/OKRs" id="34"/>
    <tableColumn name="Budget/financial planning" id="35"/>
    <tableColumn name="Backlog management" id="36"/>
    <tableColumn name="Epics" id="37"/>
    <tableColumn name="User stories" id="38"/>
    <tableColumn name="Sprints/iterations" id="39"/>
    <tableColumn name="Scrum support" id="40"/>
    <tableColumn name="Kanban WIP limits" id="41"/>
    <tableColumn name="Story points" id="42"/>
    <tableColumn name="Velocity" id="43"/>
    <tableColumn name="Burndown chart" id="44"/>
    <tableColumn name="Release planning" id="45"/>
    <tableColumn name="Product discovery" id="46"/>
    <tableColumn name="Feedback intake/portal" id="47"/>
    <tableColumn name="Prioritization scoring" id="48"/>
    <tableColumn name="Scaled Agile/SAFe" id="49"/>
    <tableColumn name="Custom statuses" id="50"/>
    <tableColumn name="State transition rules" id="51"/>
    <tableColumn name="Approval workflows" id="52"/>
    <tableColumn name="No-code automations" id="53"/>
    <tableColumn name="Conditional branching" id="54"/>
    <tableColumn name="SLA management" id="55"/>
    <tableColumn name="Request management" id="56"/>
    <tableColumn name="Forms routing" id="57"/>
    <tableColumn name="Recurring automation rules" id="58"/>
    <tableColumn name="Notification rules" id="59"/>
    <tableColumn name="Webhook triggers" id="60"/>
    <tableColumn name="Custom scripts/functions" id="61"/>
    <tableColumn name="External automation connectors" id="62"/>
    <tableColumn name="Workflow templates" id="63"/>
    <tableColumn name="Incident/service workflows" id="64"/>
    <tableColumn name="Docs/wiki" id="65"/>
    <tableColumn name="Rich text pages" id="66"/>
    <tableColumn name="Real-time co-editing" id="67"/>
    <tableColumn name="Mentions" id="68"/>
    <tableColumn name="Native chat" id="69"/>
    <tableColumn name="Whiteboards" id="70"/>
    <tableColumn name="Meeting notes" id="71"/>
    <tableColumn name="Decision logs" id="72"/>
    <tableColumn name="File sharing" id="73"/>
    <tableColumn name="Guest/client access" id="74"/>
    <tableColumn name="Discussions/forums" id="75"/>
    <tableColumn name="Knowledge base" id="76"/>
    <tableColumn name="Comment resolution" id="77"/>
    <tableColumn name="Public sharing" id="78"/>
    <tableColumn name="Dashboards" id="79"/>
    <tableColumn name="Custom reports" id="80"/>
    <tableColumn name="Charts" id="81"/>
    <tableColumn name="Time tracking" id="82"/>
    <tableColumn name="Timesheets" id="83"/>
    <tableColumn name="Estimates" id="84"/>
    <tableColumn name="Cycle time" id="85"/>
    <tableColumn name="Lead time" id="86"/>
    <tableColumn name="Cumulative flow" id="87"/>
    <tableColumn name="Workload reports" id="88"/>
    <tableColumn name="Portfolio rollups" id="89"/>
    <tableColumn name="Financial reports" id="90"/>
    <tableColumn name="Export" id="91"/>
    <tableColumn name="Saved filters" id="92"/>
    <tableColumn name="SSO/SAML" id="93"/>
    <tableColumn name="SCIM/user provisioning" id="94"/>
    <tableColumn name="RBAC" id="95"/>
    <tableColumn name="Granular permissions" id="96"/>
    <tableColumn name="Audit logs" id="97"/>
    <tableColumn name="Data residency" id="98"/>
    <tableColumn name="SOC 2" id="99"/>
    <tableColumn name="ISO 27001" id="100"/>
    <tableColumn name="HIPAA/regulated support" id="101"/>
    <tableColumn name="Encryption" id="102"/>
    <tableColumn name="Admin console" id="103"/>
    <tableColumn name="Retention/legal hold" id="104"/>
    <tableColumn name="eDiscovery" id="105"/>
    <tableColumn name="IP allowlisting" id="106"/>
    <tableColumn name="On-prem/self-hosted option" id="107"/>
    <tableColumn name="Published uptime/SLA" id="108"/>
    <tableColumn name="GitHub integration" id="109"/>
    <tableColumn name="GitLab integration" id="110"/>
    <tableColumn name="Bitbucket integration" id="111"/>
    <tableColumn name="Pull request links" id="112"/>
    <tableColumn name="Commit links" id="113"/>
    <tableColumn name="Branch linking/automation" id="114"/>
    <tableColumn name="CI/CD integration" id="115"/>
    <tableColumn name="Release management" id="116"/>
    <tableColumn name="REST API" id="117"/>
    <tableColumn name="GraphQL API" id="118"/>
    <tableColumn name="CLI or SDK" id="119"/>
    <tableColumn name="Webhooks" id="120"/>
    <tableColumn name="Repository browsing" id="121"/>
    <tableColumn name="Slack integration" id="122"/>
    <tableColumn name="Microsoft Teams integration" id="123"/>
    <tableColumn name="Email integration" id="124"/>
    <tableColumn name="Google Workspace" id="125"/>
    <tableColumn name="Microsoft 365" id="126"/>
    <tableColumn name="Zapier" id="127"/>
    <tableColumn name="Make" id="128"/>
    <tableColumn name="n8n" id="129"/>
    <tableColumn name="Marketplace/apps" id="130"/>
    <tableColumn name="Plugin/extensions" id="131"/>
    <tableColumn name="BI/data export" id="132"/>
    <tableColumn name="AI writing/summarization" id="133"/>
    <tableColumn name="AI task creation" id="134"/>
    <tableColumn name="AI project generation" id="135"/>
    <tableColumn name="AI prioritization" id="136"/>
    <tableColumn name="AI scheduling" id="137"/>
    <tableColumn name="Risk prediction" id="138"/>
    <tableColumn name="AI search/Q&amp;A" id="139"/>
    <tableColumn name="AI workflow builder" id="140"/>
    <tableColumn name="Configurable AI agents" id="141"/>
    <tableColumn name="Meeting notes to tasks" id="142"/>
    <tableColumn name="Automated status updates" id="143"/>
    <tableColumn name="Human/agent resource planning" id="144"/>
    <tableColumn name="AI governance/admin controls" id="145"/>
  </tableColumns>
  <tableStyleInfo name="Feature Matrix-style" showColumnStripes="0" showFirstColumn="1" showLastColumn="1" showRowStripes="1"/>
</table>
</file>

<file path=xl/tables/table2.xml><?xml version="1.0" encoding="utf-8"?>
<table xmlns="http://schemas.openxmlformats.org/spreadsheetml/2006/main" ref="A3:I38" displayName="PlatformProfilesTable" name="PlatformProfilesTable" id="2">
  <tableColumns count="9">
    <tableColumn name="Platform" id="1"/>
    <tableColumn name="Category" id="2"/>
    <tableColumn name="Status" id="3"/>
    <tableColumn name="Deployment" id="4"/>
    <tableColumn name="Pricing model" id="5"/>
    <tableColumn name="Best fit" id="6"/>
    <tableColumn name="Strengths" id="7"/>
    <tableColumn name="Limitations" id="8"/>
    <tableColumn name="Primary source URLs" id="9"/>
  </tableColumns>
  <tableStyleInfo name="Platform Profiles-style" showColumnStripes="0" showFirstColumn="1" showLastColumn="1" showRowStripes="1"/>
</table>
</file>

<file path=xl/tables/table3.xml><?xml version="1.0" encoding="utf-8"?>
<table xmlns="http://schemas.openxmlformats.org/spreadsheetml/2006/main" ref="A3:T38" displayName="EnterpriseFeaturesTable" name="EnterpriseFeaturesTable" id="3">
  <tableColumns count="20">
    <tableColumn name="Platform" id="1"/>
    <tableColumn name="Category" id="2"/>
    <tableColumn name="Status" id="3"/>
    <tableColumn name="SSO/SAML" id="4"/>
    <tableColumn name="SCIM/user provisioning" id="5"/>
    <tableColumn name="RBAC" id="6"/>
    <tableColumn name="Granular permissions" id="7"/>
    <tableColumn name="Audit logs" id="8"/>
    <tableColumn name="Data residency" id="9"/>
    <tableColumn name="SOC 2" id="10"/>
    <tableColumn name="ISO 27001" id="11"/>
    <tableColumn name="HIPAA/regulated support" id="12"/>
    <tableColumn name="Encryption" id="13"/>
    <tableColumn name="Admin console" id="14"/>
    <tableColumn name="Retention/legal hold" id="15"/>
    <tableColumn name="eDiscovery" id="16"/>
    <tableColumn name="IP allowlisting" id="17"/>
    <tableColumn name="On-prem/self-hosted option" id="18"/>
    <tableColumn name="Published uptime/SLA" id="19"/>
    <tableColumn name="Notes / Evidence URLs" id="20"/>
  </tableColumns>
  <tableStyleInfo name="Enterprise Features-style" showColumnStripes="0" showFirstColumn="1" showLastColumn="1" showRowStripes="1"/>
</table>
</file>

<file path=xl/tables/table4.xml><?xml version="1.0" encoding="utf-8"?>
<table xmlns="http://schemas.openxmlformats.org/spreadsheetml/2006/main" ref="A3:Q38" displayName="AICapabilitiesTable" name="AICapabilitiesTable" id="4">
  <tableColumns count="17">
    <tableColumn name="Platform" id="1"/>
    <tableColumn name="Category" id="2"/>
    <tableColumn name="Status" id="3"/>
    <tableColumn name="AI writing/summarization" id="4"/>
    <tableColumn name="AI task creation" id="5"/>
    <tableColumn name="AI project generation" id="6"/>
    <tableColumn name="AI prioritization" id="7"/>
    <tableColumn name="AI scheduling" id="8"/>
    <tableColumn name="Risk prediction" id="9"/>
    <tableColumn name="AI search/Q&amp;A" id="10"/>
    <tableColumn name="AI workflow builder" id="11"/>
    <tableColumn name="Configurable AI agents" id="12"/>
    <tableColumn name="Meeting notes to tasks" id="13"/>
    <tableColumn name="Automated status updates" id="14"/>
    <tableColumn name="Human/agent resource planning" id="15"/>
    <tableColumn name="AI governance/admin controls" id="16"/>
    <tableColumn name="Notes / Evidence URLs" id="17"/>
  </tableColumns>
  <tableStyleInfo name="AI Capabilities-style" showColumnStripes="0" showFirstColumn="1" showLastColumn="1" showRowStripes="1"/>
</table>
</file>

<file path=xl/tables/table5.xml><?xml version="1.0" encoding="utf-8"?>
<table xmlns="http://schemas.openxmlformats.org/spreadsheetml/2006/main" ref="A3:AB38" displayName="IntegrationMatrixTable" name="IntegrationMatrixTable" id="5">
  <tableColumns count="28">
    <tableColumn name="Platform" id="1"/>
    <tableColumn name="Category" id="2"/>
    <tableColumn name="Status" id="3"/>
    <tableColumn name="GitHub integration" id="4"/>
    <tableColumn name="GitLab integration" id="5"/>
    <tableColumn name="Bitbucket integration" id="6"/>
    <tableColumn name="Pull request links" id="7"/>
    <tableColumn name="Commit links" id="8"/>
    <tableColumn name="Branch linking/automation" id="9"/>
    <tableColumn name="CI/CD integration" id="10"/>
    <tableColumn name="Release management" id="11"/>
    <tableColumn name="REST API" id="12"/>
    <tableColumn name="GraphQL API" id="13"/>
    <tableColumn name="CLI or SDK" id="14"/>
    <tableColumn name="Webhooks" id="15"/>
    <tableColumn name="Repository browsing" id="16"/>
    <tableColumn name="Slack integration" id="17"/>
    <tableColumn name="Microsoft Teams integration" id="18"/>
    <tableColumn name="Email integration" id="19"/>
    <tableColumn name="Google Workspace" id="20"/>
    <tableColumn name="Microsoft 365" id="21"/>
    <tableColumn name="Zapier" id="22"/>
    <tableColumn name="Make" id="23"/>
    <tableColumn name="n8n" id="24"/>
    <tableColumn name="Marketplace/apps" id="25"/>
    <tableColumn name="Plugin/extensions" id="26"/>
    <tableColumn name="BI/data export" id="27"/>
    <tableColumn name="Notes / Evidence URLs" id="28"/>
  </tableColumns>
  <tableStyleInfo name="Integration Matrix-style" showColumnStripes="0" showFirstColumn="1" showLastColumn="1" showRowStripes="1"/>
</table>
</file>

<file path=xl/tables/table6.xml><?xml version="1.0" encoding="utf-8"?>
<table xmlns="http://schemas.openxmlformats.org/spreadsheetml/2006/main" ref="A4:N39" displayName="ScoringTable" name="ScoringTable" id="6">
  <tableColumns count="14">
    <tableColumn name="Platform" id="1"/>
    <tableColumn name="Primary Category" id="2"/>
    <tableColumn name="Overall Score" id="3"/>
    <tableColumn name="Rank" id="4"/>
    <tableColumn name="Core Work Items" id="5"/>
    <tableColumn name="Planning &amp; Views" id="6"/>
    <tableColumn name="Agile &amp; Product" id="7"/>
    <tableColumn name="Workflow &amp; Automation" id="8"/>
    <tableColumn name="Collaboration &amp; Knowledge" id="9"/>
    <tableColumn name="Reporting &amp; Analytics" id="10"/>
    <tableColumn name="Enterprise &amp; Security" id="11"/>
    <tableColumn name="Developer &amp; DevOps" id="12"/>
    <tableColumn name="Integrations &amp; Extensibility" id="13"/>
    <tableColumn name="AI &amp; Agentic" id="14"/>
  </tableColumns>
  <tableStyleInfo name="Scoring-style" showColumnStripes="0" showFirstColumn="1" showLastColumn="1" showRowStripes="1"/>
</table>
</file>

<file path=xl/tables/table7.xml><?xml version="1.0" encoding="utf-8"?>
<table xmlns="http://schemas.openxmlformats.org/spreadsheetml/2006/main" ref="A10:D150" displayName="FeatureDictionaryTable" name="FeatureDictionaryTable" id="7">
  <tableColumns count="4">
    <tableColumn name="Feature Code" id="1"/>
    <tableColumn name="Category" id="2"/>
    <tableColumn name="Feature" id="3"/>
    <tableColumn name="Weight" id="4"/>
  </tableColumns>
  <tableStyleInfo name="Legend-style" showColumnStripes="0" showFirstColumn="1" showLastColumn="1" showRowStripes="1"/>
</table>
</file>

<file path=xl/tables/table8.xml><?xml version="1.0" encoding="utf-8"?>
<table xmlns="http://schemas.openxmlformats.org/spreadsheetml/2006/main" ref="A3:E107" displayName="SourcesTable" name="SourcesTable" id="8">
  <tableColumns count="5">
    <tableColumn name="Platform" id="1"/>
    <tableColumn name="Source Type" id="2"/>
    <tableColumn name="URL" id="3"/>
    <tableColumn name="Research date" id="4"/>
    <tableColumn name="Notes" id="5"/>
  </tableColumns>
  <tableStyleInfo name="Sour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26.0"/>
    <col customWidth="1" min="3" max="3" width="13.0"/>
    <col customWidth="1" min="4" max="4" width="22.0"/>
    <col customWidth="1" min="5" max="5" width="8.63"/>
    <col customWidth="1" min="6" max="6" width="28.0"/>
    <col customWidth="1" min="7" max="7" width="15.0"/>
    <col customWidth="1" min="8" max="8" width="24.0"/>
    <col customWidth="1" min="9" max="26" width="8.63"/>
  </cols>
  <sheetData>
    <row r="1" ht="18.0" customHeight="1">
      <c r="A1" s="1" t="s">
        <v>0</v>
      </c>
    </row>
    <row r="3" ht="15.0" customHeight="1">
      <c r="A3" s="2" t="s">
        <v>1</v>
      </c>
      <c r="B3" s="3" t="s">
        <v>2</v>
      </c>
    </row>
    <row r="4" ht="15.0" customHeight="1">
      <c r="A4" s="2" t="s">
        <v>3</v>
      </c>
      <c r="B4" s="3">
        <v>35.0</v>
      </c>
    </row>
    <row r="5" ht="15.0" customHeight="1">
      <c r="A5" s="2" t="s">
        <v>4</v>
      </c>
      <c r="B5" s="3">
        <v>140.0</v>
      </c>
    </row>
    <row r="6" ht="15.0" customHeight="1">
      <c r="A6" s="2" t="s">
        <v>5</v>
      </c>
      <c r="B6" s="3" t="s">
        <v>6</v>
      </c>
    </row>
    <row r="7" ht="15.0" customHeight="1">
      <c r="A7" s="2" t="s">
        <v>7</v>
      </c>
      <c r="B7" s="3" t="s">
        <v>8</v>
      </c>
    </row>
    <row r="8" ht="15.0" customHeight="1">
      <c r="A8" s="2" t="s">
        <v>9</v>
      </c>
      <c r="B8" s="3" t="s">
        <v>10</v>
      </c>
    </row>
    <row r="9" ht="15.0" customHeight="1">
      <c r="A9" s="2" t="s">
        <v>11</v>
      </c>
      <c r="B9" s="3" t="s">
        <v>12</v>
      </c>
    </row>
    <row r="11" ht="15.0" customHeight="1">
      <c r="A11" s="4" t="s">
        <v>13</v>
      </c>
      <c r="B11" s="5" t="s">
        <v>14</v>
      </c>
      <c r="C11" s="5" t="s">
        <v>15</v>
      </c>
      <c r="D11" s="6" t="s">
        <v>16</v>
      </c>
      <c r="F11" s="4" t="s">
        <v>14</v>
      </c>
      <c r="G11" s="5" t="s">
        <v>17</v>
      </c>
      <c r="H11" s="6" t="s">
        <v>18</v>
      </c>
    </row>
    <row r="12" ht="15.0" customHeight="1">
      <c r="A12" s="7" t="s">
        <v>19</v>
      </c>
      <c r="B12" s="8" t="s">
        <v>20</v>
      </c>
      <c r="C12" s="9">
        <v>90.7</v>
      </c>
      <c r="D12" s="10" t="s">
        <v>21</v>
      </c>
      <c r="F12" s="7" t="s">
        <v>22</v>
      </c>
      <c r="G12" s="9">
        <v>91.2</v>
      </c>
      <c r="H12" s="10" t="s">
        <v>23</v>
      </c>
    </row>
    <row r="13" ht="15.0" customHeight="1">
      <c r="A13" s="7" t="s">
        <v>24</v>
      </c>
      <c r="B13" s="8" t="s">
        <v>25</v>
      </c>
      <c r="C13" s="9">
        <v>90.5</v>
      </c>
      <c r="D13" s="10" t="s">
        <v>21</v>
      </c>
      <c r="F13" s="7" t="s">
        <v>26</v>
      </c>
      <c r="G13" s="9">
        <v>74.1</v>
      </c>
      <c r="H13" s="10" t="s">
        <v>27</v>
      </c>
    </row>
    <row r="14" ht="15.0" customHeight="1">
      <c r="A14" s="7" t="s">
        <v>28</v>
      </c>
      <c r="B14" s="8" t="s">
        <v>29</v>
      </c>
      <c r="C14" s="9">
        <v>89.0</v>
      </c>
      <c r="D14" s="10" t="s">
        <v>21</v>
      </c>
      <c r="F14" s="7" t="s">
        <v>30</v>
      </c>
      <c r="G14" s="9">
        <v>64.3</v>
      </c>
      <c r="H14" s="10" t="s">
        <v>27</v>
      </c>
    </row>
    <row r="15" ht="15.0" customHeight="1">
      <c r="A15" s="7" t="s">
        <v>31</v>
      </c>
      <c r="B15" s="8" t="s">
        <v>32</v>
      </c>
      <c r="C15" s="9">
        <v>88.6</v>
      </c>
      <c r="D15" s="10" t="s">
        <v>21</v>
      </c>
      <c r="F15" s="7" t="s">
        <v>33</v>
      </c>
      <c r="G15" s="9">
        <v>78.1</v>
      </c>
      <c r="H15" s="10" t="s">
        <v>23</v>
      </c>
    </row>
    <row r="16" ht="15.0" customHeight="1">
      <c r="A16" s="7" t="s">
        <v>34</v>
      </c>
      <c r="B16" s="8" t="s">
        <v>20</v>
      </c>
      <c r="C16" s="9">
        <v>87.9</v>
      </c>
      <c r="D16" s="10" t="s">
        <v>21</v>
      </c>
      <c r="F16" s="7" t="s">
        <v>35</v>
      </c>
      <c r="G16" s="9">
        <v>73.2</v>
      </c>
      <c r="H16" s="10" t="s">
        <v>27</v>
      </c>
    </row>
    <row r="17" ht="15.0" customHeight="1">
      <c r="A17" s="7" t="s">
        <v>36</v>
      </c>
      <c r="B17" s="8" t="s">
        <v>37</v>
      </c>
      <c r="C17" s="9">
        <v>85.4</v>
      </c>
      <c r="D17" s="10" t="s">
        <v>21</v>
      </c>
      <c r="F17" s="7" t="s">
        <v>38</v>
      </c>
      <c r="G17" s="9">
        <v>76.9</v>
      </c>
      <c r="H17" s="10" t="s">
        <v>23</v>
      </c>
    </row>
    <row r="18" ht="15.0" customHeight="1">
      <c r="A18" s="7" t="s">
        <v>39</v>
      </c>
      <c r="B18" s="8" t="s">
        <v>25</v>
      </c>
      <c r="C18" s="9">
        <v>84.2</v>
      </c>
      <c r="D18" s="10" t="s">
        <v>21</v>
      </c>
      <c r="F18" s="7" t="s">
        <v>40</v>
      </c>
      <c r="G18" s="9">
        <v>69.2</v>
      </c>
      <c r="H18" s="10" t="s">
        <v>27</v>
      </c>
    </row>
    <row r="19" ht="15.0" customHeight="1">
      <c r="A19" s="7" t="s">
        <v>41</v>
      </c>
      <c r="B19" s="8" t="s">
        <v>42</v>
      </c>
      <c r="C19" s="9">
        <v>83.8</v>
      </c>
      <c r="D19" s="10" t="s">
        <v>21</v>
      </c>
      <c r="F19" s="7" t="s">
        <v>43</v>
      </c>
      <c r="G19" s="9">
        <v>52.7</v>
      </c>
      <c r="H19" s="10" t="s">
        <v>44</v>
      </c>
    </row>
    <row r="20" ht="15.0" customHeight="1">
      <c r="A20" s="7" t="s">
        <v>45</v>
      </c>
      <c r="B20" s="8" t="s">
        <v>46</v>
      </c>
      <c r="C20" s="9">
        <v>83.5</v>
      </c>
      <c r="D20" s="10" t="s">
        <v>21</v>
      </c>
      <c r="F20" s="7" t="s">
        <v>47</v>
      </c>
      <c r="G20" s="9">
        <v>78.4</v>
      </c>
      <c r="H20" s="10" t="s">
        <v>23</v>
      </c>
    </row>
    <row r="21" ht="15.0" customHeight="1">
      <c r="A21" s="11" t="s">
        <v>48</v>
      </c>
      <c r="B21" s="12" t="s">
        <v>49</v>
      </c>
      <c r="C21" s="13">
        <v>83.3</v>
      </c>
      <c r="D21" s="14" t="s">
        <v>21</v>
      </c>
      <c r="F21" s="11" t="s">
        <v>50</v>
      </c>
      <c r="G21" s="13">
        <v>55.1</v>
      </c>
      <c r="H21" s="14" t="s">
        <v>27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38.0"/>
    <col customWidth="1" min="3" max="3" width="24.0"/>
    <col customWidth="1" min="4" max="5" width="16.0"/>
    <col customWidth="1" min="6" max="145" width="15.0"/>
  </cols>
  <sheetData>
    <row r="1" ht="27.75" customHeight="1">
      <c r="A1" s="1" t="s">
        <v>51</v>
      </c>
    </row>
    <row r="2">
      <c r="A2" s="15" t="s">
        <v>52</v>
      </c>
    </row>
    <row r="4">
      <c r="A4" s="16" t="s">
        <v>53</v>
      </c>
      <c r="B4" s="16" t="s">
        <v>14</v>
      </c>
      <c r="C4" s="16" t="s">
        <v>54</v>
      </c>
      <c r="D4" s="16" t="s">
        <v>16</v>
      </c>
      <c r="E4" s="16" t="s">
        <v>55</v>
      </c>
      <c r="F4" s="16" t="s">
        <v>56</v>
      </c>
      <c r="G4" s="16" t="s">
        <v>57</v>
      </c>
      <c r="H4" s="16" t="s">
        <v>58</v>
      </c>
      <c r="I4" s="16" t="s">
        <v>59</v>
      </c>
      <c r="J4" s="16" t="s">
        <v>60</v>
      </c>
      <c r="K4" s="16" t="s">
        <v>61</v>
      </c>
      <c r="L4" s="16" t="s">
        <v>62</v>
      </c>
      <c r="M4" s="16" t="s">
        <v>63</v>
      </c>
      <c r="N4" s="16" t="s">
        <v>64</v>
      </c>
      <c r="O4" s="16" t="s">
        <v>65</v>
      </c>
      <c r="P4" s="16" t="s">
        <v>66</v>
      </c>
      <c r="Q4" s="16" t="s">
        <v>67</v>
      </c>
      <c r="R4" s="16" t="s">
        <v>68</v>
      </c>
      <c r="S4" s="16" t="s">
        <v>69</v>
      </c>
      <c r="T4" s="16" t="s">
        <v>70</v>
      </c>
      <c r="U4" s="16" t="s">
        <v>71</v>
      </c>
      <c r="V4" s="16" t="s">
        <v>72</v>
      </c>
      <c r="W4" s="16" t="s">
        <v>73</v>
      </c>
      <c r="X4" s="16" t="s">
        <v>74</v>
      </c>
      <c r="Y4" s="16" t="s">
        <v>75</v>
      </c>
      <c r="Z4" s="16" t="s">
        <v>76</v>
      </c>
      <c r="AA4" s="16" t="s">
        <v>77</v>
      </c>
      <c r="AB4" s="16" t="s">
        <v>78</v>
      </c>
      <c r="AC4" s="16" t="s">
        <v>79</v>
      </c>
      <c r="AD4" s="16" t="s">
        <v>80</v>
      </c>
      <c r="AE4" s="16" t="s">
        <v>81</v>
      </c>
      <c r="AF4" s="16" t="s">
        <v>82</v>
      </c>
      <c r="AG4" s="16" t="s">
        <v>83</v>
      </c>
      <c r="AH4" s="16" t="s">
        <v>84</v>
      </c>
      <c r="AI4" s="16" t="s">
        <v>85</v>
      </c>
      <c r="AJ4" s="16" t="s">
        <v>86</v>
      </c>
      <c r="AK4" s="16" t="s">
        <v>87</v>
      </c>
      <c r="AL4" s="16" t="s">
        <v>88</v>
      </c>
      <c r="AM4" s="16" t="s">
        <v>89</v>
      </c>
      <c r="AN4" s="16" t="s">
        <v>90</v>
      </c>
      <c r="AO4" s="16" t="s">
        <v>91</v>
      </c>
      <c r="AP4" s="16" t="s">
        <v>92</v>
      </c>
      <c r="AQ4" s="16" t="s">
        <v>93</v>
      </c>
      <c r="AR4" s="16" t="s">
        <v>94</v>
      </c>
      <c r="AS4" s="16" t="s">
        <v>95</v>
      </c>
      <c r="AT4" s="16" t="s">
        <v>96</v>
      </c>
      <c r="AU4" s="16" t="s">
        <v>97</v>
      </c>
      <c r="AV4" s="16" t="s">
        <v>98</v>
      </c>
      <c r="AW4" s="16" t="s">
        <v>99</v>
      </c>
      <c r="AX4" s="16" t="s">
        <v>100</v>
      </c>
      <c r="AY4" s="16" t="s">
        <v>101</v>
      </c>
      <c r="AZ4" s="16" t="s">
        <v>102</v>
      </c>
      <c r="BA4" s="16" t="s">
        <v>103</v>
      </c>
      <c r="BB4" s="16" t="s">
        <v>104</v>
      </c>
      <c r="BC4" s="16" t="s">
        <v>105</v>
      </c>
      <c r="BD4" s="16" t="s">
        <v>106</v>
      </c>
      <c r="BE4" s="16" t="s">
        <v>107</v>
      </c>
      <c r="BF4" s="16" t="s">
        <v>108</v>
      </c>
      <c r="BG4" s="16" t="s">
        <v>109</v>
      </c>
      <c r="BH4" s="16" t="s">
        <v>110</v>
      </c>
      <c r="BI4" s="16" t="s">
        <v>111</v>
      </c>
      <c r="BJ4" s="16" t="s">
        <v>112</v>
      </c>
      <c r="BK4" s="16" t="s">
        <v>113</v>
      </c>
      <c r="BL4" s="16" t="s">
        <v>114</v>
      </c>
      <c r="BM4" s="16" t="s">
        <v>115</v>
      </c>
      <c r="BN4" s="16" t="s">
        <v>116</v>
      </c>
      <c r="BO4" s="16" t="s">
        <v>117</v>
      </c>
      <c r="BP4" s="16" t="s">
        <v>118</v>
      </c>
      <c r="BQ4" s="16" t="s">
        <v>119</v>
      </c>
      <c r="BR4" s="16" t="s">
        <v>120</v>
      </c>
      <c r="BS4" s="16" t="s">
        <v>121</v>
      </c>
      <c r="BT4" s="16" t="s">
        <v>122</v>
      </c>
      <c r="BU4" s="16" t="s">
        <v>123</v>
      </c>
      <c r="BV4" s="16" t="s">
        <v>124</v>
      </c>
      <c r="BW4" s="16" t="s">
        <v>125</v>
      </c>
      <c r="BX4" s="16" t="s">
        <v>126</v>
      </c>
      <c r="BY4" s="16" t="s">
        <v>127</v>
      </c>
      <c r="BZ4" s="16" t="s">
        <v>128</v>
      </c>
      <c r="CA4" s="16" t="s">
        <v>129</v>
      </c>
      <c r="CB4" s="16" t="s">
        <v>130</v>
      </c>
      <c r="CC4" s="16" t="s">
        <v>131</v>
      </c>
      <c r="CD4" s="16" t="s">
        <v>132</v>
      </c>
      <c r="CE4" s="16" t="s">
        <v>133</v>
      </c>
      <c r="CF4" s="16" t="s">
        <v>134</v>
      </c>
      <c r="CG4" s="16" t="s">
        <v>135</v>
      </c>
      <c r="CH4" s="16" t="s">
        <v>136</v>
      </c>
      <c r="CI4" s="16" t="s">
        <v>137</v>
      </c>
      <c r="CJ4" s="16" t="s">
        <v>138</v>
      </c>
      <c r="CK4" s="16" t="s">
        <v>139</v>
      </c>
      <c r="CL4" s="16" t="s">
        <v>140</v>
      </c>
      <c r="CM4" s="16" t="s">
        <v>141</v>
      </c>
      <c r="CN4" s="16" t="s">
        <v>142</v>
      </c>
      <c r="CO4" s="16" t="s">
        <v>143</v>
      </c>
      <c r="CP4" s="16" t="s">
        <v>144</v>
      </c>
      <c r="CQ4" s="16" t="s">
        <v>145</v>
      </c>
      <c r="CR4" s="16" t="s">
        <v>146</v>
      </c>
      <c r="CS4" s="16" t="s">
        <v>147</v>
      </c>
      <c r="CT4" s="16" t="s">
        <v>148</v>
      </c>
      <c r="CU4" s="16" t="s">
        <v>149</v>
      </c>
      <c r="CV4" s="16" t="s">
        <v>150</v>
      </c>
      <c r="CW4" s="16" t="s">
        <v>151</v>
      </c>
      <c r="CX4" s="16" t="s">
        <v>152</v>
      </c>
      <c r="CY4" s="16" t="s">
        <v>153</v>
      </c>
      <c r="CZ4" s="16" t="s">
        <v>154</v>
      </c>
      <c r="DA4" s="16" t="s">
        <v>155</v>
      </c>
      <c r="DB4" s="16" t="s">
        <v>156</v>
      </c>
      <c r="DC4" s="16" t="s">
        <v>157</v>
      </c>
      <c r="DD4" s="16" t="s">
        <v>158</v>
      </c>
      <c r="DE4" s="16" t="s">
        <v>159</v>
      </c>
      <c r="DF4" s="16" t="s">
        <v>160</v>
      </c>
      <c r="DG4" s="16" t="s">
        <v>161</v>
      </c>
      <c r="DH4" s="16" t="s">
        <v>162</v>
      </c>
      <c r="DI4" s="16" t="s">
        <v>163</v>
      </c>
      <c r="DJ4" s="16" t="s">
        <v>164</v>
      </c>
      <c r="DK4" s="16" t="s">
        <v>165</v>
      </c>
      <c r="DL4" s="16" t="s">
        <v>166</v>
      </c>
      <c r="DM4" s="16" t="s">
        <v>167</v>
      </c>
      <c r="DN4" s="16" t="s">
        <v>168</v>
      </c>
      <c r="DO4" s="16" t="s">
        <v>169</v>
      </c>
      <c r="DP4" s="16" t="s">
        <v>170</v>
      </c>
      <c r="DQ4" s="16" t="s">
        <v>171</v>
      </c>
      <c r="DR4" s="16" t="s">
        <v>172</v>
      </c>
      <c r="DS4" s="16" t="s">
        <v>173</v>
      </c>
      <c r="DT4" s="16" t="s">
        <v>174</v>
      </c>
      <c r="DU4" s="16" t="s">
        <v>175</v>
      </c>
      <c r="DV4" s="16" t="s">
        <v>176</v>
      </c>
      <c r="DW4" s="16" t="s">
        <v>177</v>
      </c>
      <c r="DX4" s="16" t="s">
        <v>178</v>
      </c>
      <c r="DY4" s="16" t="s">
        <v>179</v>
      </c>
      <c r="DZ4" s="16" t="s">
        <v>180</v>
      </c>
      <c r="EA4" s="16" t="s">
        <v>181</v>
      </c>
      <c r="EB4" s="16" t="s">
        <v>182</v>
      </c>
      <c r="EC4" s="16" t="s">
        <v>183</v>
      </c>
      <c r="ED4" s="16" t="s">
        <v>184</v>
      </c>
      <c r="EE4" s="16" t="s">
        <v>185</v>
      </c>
      <c r="EF4" s="16" t="s">
        <v>186</v>
      </c>
      <c r="EG4" s="16" t="s">
        <v>187</v>
      </c>
      <c r="EH4" s="16" t="s">
        <v>188</v>
      </c>
      <c r="EI4" s="16" t="s">
        <v>189</v>
      </c>
      <c r="EJ4" s="16" t="s">
        <v>190</v>
      </c>
      <c r="EK4" s="16" t="s">
        <v>191</v>
      </c>
      <c r="EL4" s="16" t="s">
        <v>192</v>
      </c>
      <c r="EM4" s="16" t="s">
        <v>193</v>
      </c>
      <c r="EN4" s="16" t="s">
        <v>194</v>
      </c>
      <c r="EO4" s="16" t="s">
        <v>195</v>
      </c>
    </row>
    <row r="5" ht="21.75" customHeight="1">
      <c r="A5" s="17" t="s">
        <v>24</v>
      </c>
      <c r="B5" s="17" t="s">
        <v>25</v>
      </c>
      <c r="C5" s="17" t="s">
        <v>196</v>
      </c>
      <c r="D5" s="17" t="s">
        <v>21</v>
      </c>
      <c r="E5" s="17" t="s">
        <v>197</v>
      </c>
      <c r="F5" s="18">
        <v>3.0</v>
      </c>
      <c r="G5" s="18">
        <v>3.0</v>
      </c>
      <c r="H5" s="18">
        <v>3.0</v>
      </c>
      <c r="I5" s="18">
        <v>3.0</v>
      </c>
      <c r="J5" s="18">
        <v>3.0</v>
      </c>
      <c r="K5" s="18">
        <v>3.0</v>
      </c>
      <c r="L5" s="18">
        <v>3.0</v>
      </c>
      <c r="M5" s="18">
        <v>3.0</v>
      </c>
      <c r="N5" s="18">
        <v>3.0</v>
      </c>
      <c r="O5" s="18">
        <v>3.0</v>
      </c>
      <c r="P5" s="18">
        <v>3.0</v>
      </c>
      <c r="Q5" s="18">
        <v>3.0</v>
      </c>
      <c r="R5" s="18">
        <v>3.0</v>
      </c>
      <c r="S5" s="18">
        <v>3.0</v>
      </c>
      <c r="T5" s="18">
        <v>3.0</v>
      </c>
      <c r="U5" s="18">
        <v>3.0</v>
      </c>
      <c r="V5" s="18">
        <v>3.0</v>
      </c>
      <c r="W5" s="18">
        <v>3.0</v>
      </c>
      <c r="X5" s="18">
        <v>3.0</v>
      </c>
      <c r="Y5" s="18">
        <v>3.0</v>
      </c>
      <c r="Z5" s="18">
        <v>3.0</v>
      </c>
      <c r="AA5" s="18">
        <v>3.0</v>
      </c>
      <c r="AB5" s="18">
        <v>2.0</v>
      </c>
      <c r="AC5" s="18">
        <v>3.0</v>
      </c>
      <c r="AD5" s="18">
        <v>3.0</v>
      </c>
      <c r="AE5" s="18">
        <v>3.0</v>
      </c>
      <c r="AF5" s="18">
        <v>3.0</v>
      </c>
      <c r="AG5" s="18">
        <v>3.0</v>
      </c>
      <c r="AH5" s="18">
        <v>3.0</v>
      </c>
      <c r="AI5" s="18">
        <v>1.0</v>
      </c>
      <c r="AJ5" s="18">
        <v>3.0</v>
      </c>
      <c r="AK5" s="18">
        <v>3.0</v>
      </c>
      <c r="AL5" s="18">
        <v>3.0</v>
      </c>
      <c r="AM5" s="18">
        <v>3.0</v>
      </c>
      <c r="AN5" s="18">
        <v>3.0</v>
      </c>
      <c r="AO5" s="18">
        <v>3.0</v>
      </c>
      <c r="AP5" s="18">
        <v>3.0</v>
      </c>
      <c r="AQ5" s="18">
        <v>3.0</v>
      </c>
      <c r="AR5" s="18">
        <v>3.0</v>
      </c>
      <c r="AS5" s="18">
        <v>3.0</v>
      </c>
      <c r="AT5" s="18">
        <v>3.0</v>
      </c>
      <c r="AU5" s="18">
        <v>3.0</v>
      </c>
      <c r="AV5" s="18">
        <v>3.0</v>
      </c>
      <c r="AW5" s="18">
        <v>2.0</v>
      </c>
      <c r="AX5" s="18">
        <v>3.0</v>
      </c>
      <c r="AY5" s="18">
        <v>3.0</v>
      </c>
      <c r="AZ5" s="18">
        <v>3.0</v>
      </c>
      <c r="BA5" s="18">
        <v>3.0</v>
      </c>
      <c r="BB5" s="18">
        <v>3.0</v>
      </c>
      <c r="BC5" s="18">
        <v>3.0</v>
      </c>
      <c r="BD5" s="18">
        <v>3.0</v>
      </c>
      <c r="BE5" s="18">
        <v>3.0</v>
      </c>
      <c r="BF5" s="18">
        <v>3.0</v>
      </c>
      <c r="BG5" s="18">
        <v>3.0</v>
      </c>
      <c r="BH5" s="18">
        <v>3.0</v>
      </c>
      <c r="BI5" s="18">
        <v>3.0</v>
      </c>
      <c r="BJ5" s="18">
        <v>3.0</v>
      </c>
      <c r="BK5" s="18">
        <v>3.0</v>
      </c>
      <c r="BL5" s="18">
        <v>3.0</v>
      </c>
      <c r="BM5" s="18">
        <v>1.0</v>
      </c>
      <c r="BN5" s="18">
        <v>2.0</v>
      </c>
      <c r="BO5" s="18">
        <v>2.0</v>
      </c>
      <c r="BP5" s="18">
        <v>2.0</v>
      </c>
      <c r="BQ5" s="18">
        <v>0.0</v>
      </c>
      <c r="BR5" s="18">
        <v>1.0</v>
      </c>
      <c r="BS5" s="18">
        <v>2.0</v>
      </c>
      <c r="BT5" s="18">
        <v>2.0</v>
      </c>
      <c r="BU5" s="18">
        <v>2.0</v>
      </c>
      <c r="BV5" s="18">
        <v>2.0</v>
      </c>
      <c r="BW5" s="18">
        <v>2.0</v>
      </c>
      <c r="BX5" s="18">
        <v>2.0</v>
      </c>
      <c r="BY5" s="18">
        <v>2.0</v>
      </c>
      <c r="BZ5" s="18">
        <v>2.0</v>
      </c>
      <c r="CA5" s="18">
        <v>3.0</v>
      </c>
      <c r="CB5" s="18">
        <v>3.0</v>
      </c>
      <c r="CC5" s="18">
        <v>3.0</v>
      </c>
      <c r="CD5" s="18">
        <v>3.0</v>
      </c>
      <c r="CE5" s="18">
        <v>3.0</v>
      </c>
      <c r="CF5" s="18">
        <v>3.0</v>
      </c>
      <c r="CG5" s="18">
        <v>3.0</v>
      </c>
      <c r="CH5" s="18">
        <v>3.0</v>
      </c>
      <c r="CI5" s="18">
        <v>3.0</v>
      </c>
      <c r="CJ5" s="18">
        <v>3.0</v>
      </c>
      <c r="CK5" s="18">
        <v>3.0</v>
      </c>
      <c r="CL5" s="18">
        <v>3.0</v>
      </c>
      <c r="CM5" s="18">
        <v>3.0</v>
      </c>
      <c r="CN5" s="18">
        <v>3.0</v>
      </c>
      <c r="CO5" s="18">
        <v>3.0</v>
      </c>
      <c r="CP5" s="18">
        <v>3.0</v>
      </c>
      <c r="CQ5" s="18">
        <v>3.0</v>
      </c>
      <c r="CR5" s="18">
        <v>3.0</v>
      </c>
      <c r="CS5" s="18">
        <v>3.0</v>
      </c>
      <c r="CT5" s="18">
        <v>3.0</v>
      </c>
      <c r="CU5" s="18">
        <v>3.0</v>
      </c>
      <c r="CV5" s="18">
        <v>3.0</v>
      </c>
      <c r="CW5" s="18">
        <v>2.0</v>
      </c>
      <c r="CX5" s="18">
        <v>3.0</v>
      </c>
      <c r="CY5" s="18">
        <v>3.0</v>
      </c>
      <c r="CZ5" s="18">
        <v>2.0</v>
      </c>
      <c r="DA5" s="18">
        <v>2.0</v>
      </c>
      <c r="DB5" s="18">
        <v>3.0</v>
      </c>
      <c r="DC5" s="18">
        <v>3.0</v>
      </c>
      <c r="DD5" s="18">
        <v>3.0</v>
      </c>
      <c r="DE5" s="18">
        <v>3.0</v>
      </c>
      <c r="DF5" s="18">
        <v>3.0</v>
      </c>
      <c r="DG5" s="18">
        <v>3.0</v>
      </c>
      <c r="DH5" s="18">
        <v>3.0</v>
      </c>
      <c r="DI5" s="18">
        <v>3.0</v>
      </c>
      <c r="DJ5" s="18">
        <v>3.0</v>
      </c>
      <c r="DK5" s="18">
        <v>3.0</v>
      </c>
      <c r="DL5" s="18">
        <v>3.0</v>
      </c>
      <c r="DM5" s="18">
        <v>3.0</v>
      </c>
      <c r="DN5" s="18">
        <v>2.0</v>
      </c>
      <c r="DO5" s="18">
        <v>3.0</v>
      </c>
      <c r="DP5" s="18">
        <v>3.0</v>
      </c>
      <c r="DQ5" s="18">
        <v>3.0</v>
      </c>
      <c r="DR5" s="18">
        <v>3.0</v>
      </c>
      <c r="DS5" s="18">
        <v>3.0</v>
      </c>
      <c r="DT5" s="18">
        <v>3.0</v>
      </c>
      <c r="DU5" s="18">
        <v>3.0</v>
      </c>
      <c r="DV5" s="18">
        <v>3.0</v>
      </c>
      <c r="DW5" s="18">
        <v>3.0</v>
      </c>
      <c r="DX5" s="18">
        <v>3.0</v>
      </c>
      <c r="DY5" s="18">
        <v>3.0</v>
      </c>
      <c r="DZ5" s="18">
        <v>3.0</v>
      </c>
      <c r="EA5" s="18">
        <v>3.0</v>
      </c>
      <c r="EB5" s="18">
        <v>3.0</v>
      </c>
      <c r="EC5" s="18">
        <v>2.0</v>
      </c>
      <c r="ED5" s="18">
        <v>2.0</v>
      </c>
      <c r="EE5" s="18">
        <v>1.0</v>
      </c>
      <c r="EF5" s="18">
        <v>2.0</v>
      </c>
      <c r="EG5" s="18">
        <v>2.0</v>
      </c>
      <c r="EH5" s="18">
        <v>2.0</v>
      </c>
      <c r="EI5" s="18">
        <v>2.0</v>
      </c>
      <c r="EJ5" s="18">
        <v>2.0</v>
      </c>
      <c r="EK5" s="18">
        <v>2.0</v>
      </c>
      <c r="EL5" s="18">
        <v>2.0</v>
      </c>
      <c r="EM5" s="18">
        <v>2.0</v>
      </c>
      <c r="EN5" s="18">
        <v>1.0</v>
      </c>
      <c r="EO5" s="18">
        <v>2.0</v>
      </c>
    </row>
    <row r="6" ht="21.75" customHeight="1">
      <c r="A6" s="17" t="s">
        <v>39</v>
      </c>
      <c r="B6" s="17" t="s">
        <v>25</v>
      </c>
      <c r="C6" s="17" t="s">
        <v>198</v>
      </c>
      <c r="D6" s="17" t="s">
        <v>21</v>
      </c>
      <c r="E6" s="17" t="s">
        <v>197</v>
      </c>
      <c r="F6" s="18">
        <v>3.0</v>
      </c>
      <c r="G6" s="18">
        <v>3.0</v>
      </c>
      <c r="H6" s="18">
        <v>3.0</v>
      </c>
      <c r="I6" s="18">
        <v>3.0</v>
      </c>
      <c r="J6" s="18">
        <v>3.0</v>
      </c>
      <c r="K6" s="18">
        <v>3.0</v>
      </c>
      <c r="L6" s="18">
        <v>3.0</v>
      </c>
      <c r="M6" s="18">
        <v>3.0</v>
      </c>
      <c r="N6" s="18">
        <v>3.0</v>
      </c>
      <c r="O6" s="18">
        <v>3.0</v>
      </c>
      <c r="P6" s="18">
        <v>3.0</v>
      </c>
      <c r="Q6" s="18">
        <v>3.0</v>
      </c>
      <c r="R6" s="18">
        <v>3.0</v>
      </c>
      <c r="S6" s="18">
        <v>3.0</v>
      </c>
      <c r="T6" s="18">
        <v>3.0</v>
      </c>
      <c r="U6" s="18">
        <v>3.0</v>
      </c>
      <c r="V6" s="18">
        <v>3.0</v>
      </c>
      <c r="W6" s="18">
        <v>3.0</v>
      </c>
      <c r="X6" s="18">
        <v>3.0</v>
      </c>
      <c r="Y6" s="18">
        <v>3.0</v>
      </c>
      <c r="Z6" s="18">
        <v>3.0</v>
      </c>
      <c r="AA6" s="18">
        <v>3.0</v>
      </c>
      <c r="AB6" s="18">
        <v>2.0</v>
      </c>
      <c r="AC6" s="18">
        <v>3.0</v>
      </c>
      <c r="AD6" s="18">
        <v>3.0</v>
      </c>
      <c r="AE6" s="18">
        <v>3.0</v>
      </c>
      <c r="AF6" s="18">
        <v>3.0</v>
      </c>
      <c r="AG6" s="18">
        <v>3.0</v>
      </c>
      <c r="AH6" s="18">
        <v>3.0</v>
      </c>
      <c r="AI6" s="18">
        <v>1.0</v>
      </c>
      <c r="AJ6" s="18">
        <v>3.0</v>
      </c>
      <c r="AK6" s="18">
        <v>3.0</v>
      </c>
      <c r="AL6" s="18">
        <v>3.0</v>
      </c>
      <c r="AM6" s="18">
        <v>3.0</v>
      </c>
      <c r="AN6" s="18">
        <v>3.0</v>
      </c>
      <c r="AO6" s="18">
        <v>3.0</v>
      </c>
      <c r="AP6" s="18">
        <v>3.0</v>
      </c>
      <c r="AQ6" s="18">
        <v>3.0</v>
      </c>
      <c r="AR6" s="18">
        <v>3.0</v>
      </c>
      <c r="AS6" s="18">
        <v>3.0</v>
      </c>
      <c r="AT6" s="18">
        <v>3.0</v>
      </c>
      <c r="AU6" s="18">
        <v>3.0</v>
      </c>
      <c r="AV6" s="18">
        <v>3.0</v>
      </c>
      <c r="AW6" s="18">
        <v>2.0</v>
      </c>
      <c r="AX6" s="18">
        <v>3.0</v>
      </c>
      <c r="AY6" s="18">
        <v>3.0</v>
      </c>
      <c r="AZ6" s="18">
        <v>3.0</v>
      </c>
      <c r="BA6" s="18">
        <v>3.0</v>
      </c>
      <c r="BB6" s="18">
        <v>3.0</v>
      </c>
      <c r="BC6" s="18">
        <v>3.0</v>
      </c>
      <c r="BD6" s="18">
        <v>3.0</v>
      </c>
      <c r="BE6" s="18">
        <v>3.0</v>
      </c>
      <c r="BF6" s="18">
        <v>3.0</v>
      </c>
      <c r="BG6" s="18">
        <v>3.0</v>
      </c>
      <c r="BH6" s="18">
        <v>3.0</v>
      </c>
      <c r="BI6" s="18">
        <v>3.0</v>
      </c>
      <c r="BJ6" s="18">
        <v>3.0</v>
      </c>
      <c r="BK6" s="18">
        <v>3.0</v>
      </c>
      <c r="BL6" s="18">
        <v>3.0</v>
      </c>
      <c r="BM6" s="18">
        <v>2.0</v>
      </c>
      <c r="BN6" s="18">
        <v>2.0</v>
      </c>
      <c r="BO6" s="18">
        <v>2.0</v>
      </c>
      <c r="BP6" s="18">
        <v>2.0</v>
      </c>
      <c r="BQ6" s="18">
        <v>0.0</v>
      </c>
      <c r="BR6" s="18">
        <v>0.0</v>
      </c>
      <c r="BS6" s="18">
        <v>2.0</v>
      </c>
      <c r="BT6" s="18">
        <v>2.0</v>
      </c>
      <c r="BU6" s="18">
        <v>2.0</v>
      </c>
      <c r="BV6" s="18">
        <v>2.0</v>
      </c>
      <c r="BW6" s="18">
        <v>2.0</v>
      </c>
      <c r="BX6" s="18">
        <v>2.0</v>
      </c>
      <c r="BY6" s="18">
        <v>2.0</v>
      </c>
      <c r="BZ6" s="18">
        <v>2.0</v>
      </c>
      <c r="CA6" s="18">
        <v>3.0</v>
      </c>
      <c r="CB6" s="18">
        <v>3.0</v>
      </c>
      <c r="CC6" s="18">
        <v>3.0</v>
      </c>
      <c r="CD6" s="18">
        <v>3.0</v>
      </c>
      <c r="CE6" s="18">
        <v>3.0</v>
      </c>
      <c r="CF6" s="18">
        <v>3.0</v>
      </c>
      <c r="CG6" s="18">
        <v>3.0</v>
      </c>
      <c r="CH6" s="18">
        <v>3.0</v>
      </c>
      <c r="CI6" s="18">
        <v>3.0</v>
      </c>
      <c r="CJ6" s="18">
        <v>3.0</v>
      </c>
      <c r="CK6" s="18">
        <v>3.0</v>
      </c>
      <c r="CL6" s="18">
        <v>3.0</v>
      </c>
      <c r="CM6" s="18">
        <v>3.0</v>
      </c>
      <c r="CN6" s="18">
        <v>3.0</v>
      </c>
      <c r="CO6" s="18">
        <v>3.0</v>
      </c>
      <c r="CP6" s="18">
        <v>3.0</v>
      </c>
      <c r="CQ6" s="18">
        <v>3.0</v>
      </c>
      <c r="CR6" s="18">
        <v>3.0</v>
      </c>
      <c r="CS6" s="18">
        <v>3.0</v>
      </c>
      <c r="CT6" s="18">
        <v>3.0</v>
      </c>
      <c r="CU6" s="18">
        <v>3.0</v>
      </c>
      <c r="CV6" s="18">
        <v>3.0</v>
      </c>
      <c r="CW6" s="18">
        <v>2.0</v>
      </c>
      <c r="CX6" s="18">
        <v>3.0</v>
      </c>
      <c r="CY6" s="18">
        <v>3.0</v>
      </c>
      <c r="CZ6" s="18">
        <v>2.0</v>
      </c>
      <c r="DA6" s="18">
        <v>2.0</v>
      </c>
      <c r="DB6" s="18">
        <v>3.0</v>
      </c>
      <c r="DC6" s="18">
        <v>3.0</v>
      </c>
      <c r="DD6" s="18">
        <v>3.0</v>
      </c>
      <c r="DE6" s="18">
        <v>3.0</v>
      </c>
      <c r="DF6" s="18">
        <v>3.0</v>
      </c>
      <c r="DG6" s="18">
        <v>3.0</v>
      </c>
      <c r="DH6" s="18">
        <v>3.0</v>
      </c>
      <c r="DI6" s="18">
        <v>3.0</v>
      </c>
      <c r="DJ6" s="18">
        <v>3.0</v>
      </c>
      <c r="DK6" s="18">
        <v>3.0</v>
      </c>
      <c r="DL6" s="18">
        <v>3.0</v>
      </c>
      <c r="DM6" s="18">
        <v>3.0</v>
      </c>
      <c r="DN6" s="18">
        <v>0.0</v>
      </c>
      <c r="DO6" s="18">
        <v>3.0</v>
      </c>
      <c r="DP6" s="18">
        <v>3.0</v>
      </c>
      <c r="DQ6" s="18">
        <v>3.0</v>
      </c>
      <c r="DR6" s="18">
        <v>3.0</v>
      </c>
      <c r="DS6" s="18">
        <v>2.0</v>
      </c>
      <c r="DT6" s="18">
        <v>3.0</v>
      </c>
      <c r="DU6" s="18">
        <v>2.0</v>
      </c>
      <c r="DV6" s="18">
        <v>2.0</v>
      </c>
      <c r="DW6" s="18">
        <v>2.0</v>
      </c>
      <c r="DX6" s="18">
        <v>2.0</v>
      </c>
      <c r="DY6" s="18">
        <v>2.0</v>
      </c>
      <c r="DZ6" s="18">
        <v>2.0</v>
      </c>
      <c r="EA6" s="18">
        <v>2.0</v>
      </c>
      <c r="EB6" s="18">
        <v>2.0</v>
      </c>
      <c r="EC6" s="18">
        <v>1.0</v>
      </c>
      <c r="ED6" s="18">
        <v>1.0</v>
      </c>
      <c r="EE6" s="18">
        <v>1.0</v>
      </c>
      <c r="EF6" s="18">
        <v>1.0</v>
      </c>
      <c r="EG6" s="18">
        <v>1.0</v>
      </c>
      <c r="EH6" s="18">
        <v>1.0</v>
      </c>
      <c r="EI6" s="18">
        <v>1.0</v>
      </c>
      <c r="EJ6" s="18">
        <v>1.0</v>
      </c>
      <c r="EK6" s="18">
        <v>0.0</v>
      </c>
      <c r="EL6" s="18">
        <v>1.0</v>
      </c>
      <c r="EM6" s="18">
        <v>1.0</v>
      </c>
      <c r="EN6" s="18">
        <v>0.0</v>
      </c>
      <c r="EO6" s="18">
        <v>1.0</v>
      </c>
    </row>
    <row r="7" ht="21.75" customHeight="1">
      <c r="A7" s="17" t="s">
        <v>199</v>
      </c>
      <c r="B7" s="17" t="s">
        <v>200</v>
      </c>
      <c r="C7" s="17" t="s">
        <v>201</v>
      </c>
      <c r="D7" s="17" t="s">
        <v>21</v>
      </c>
      <c r="E7" s="17" t="s">
        <v>197</v>
      </c>
      <c r="F7" s="18">
        <v>3.0</v>
      </c>
      <c r="G7" s="18">
        <v>2.0</v>
      </c>
      <c r="H7" s="18">
        <v>2.0</v>
      </c>
      <c r="I7" s="18">
        <v>2.0</v>
      </c>
      <c r="J7" s="18">
        <v>2.0</v>
      </c>
      <c r="K7" s="18">
        <v>2.0</v>
      </c>
      <c r="L7" s="18">
        <v>2.0</v>
      </c>
      <c r="M7" s="18">
        <v>2.0</v>
      </c>
      <c r="N7" s="18">
        <v>2.0</v>
      </c>
      <c r="O7" s="18">
        <v>3.0</v>
      </c>
      <c r="P7" s="18">
        <v>3.0</v>
      </c>
      <c r="Q7" s="18">
        <v>3.0</v>
      </c>
      <c r="R7" s="18">
        <v>3.0</v>
      </c>
      <c r="S7" s="18">
        <v>2.0</v>
      </c>
      <c r="T7" s="18">
        <v>2.0</v>
      </c>
      <c r="U7" s="18">
        <v>2.0</v>
      </c>
      <c r="V7" s="18">
        <v>2.0</v>
      </c>
      <c r="W7" s="18">
        <v>2.0</v>
      </c>
      <c r="X7" s="18">
        <v>1.0</v>
      </c>
      <c r="Y7" s="18">
        <v>2.0</v>
      </c>
      <c r="Z7" s="18">
        <v>2.0</v>
      </c>
      <c r="AA7" s="18">
        <v>2.0</v>
      </c>
      <c r="AB7" s="18">
        <v>0.0</v>
      </c>
      <c r="AC7" s="18">
        <v>0.0</v>
      </c>
      <c r="AD7" s="18">
        <v>0.0</v>
      </c>
      <c r="AE7" s="18">
        <v>2.0</v>
      </c>
      <c r="AF7" s="18">
        <v>2.0</v>
      </c>
      <c r="AG7" s="18">
        <v>2.0</v>
      </c>
      <c r="AH7" s="18">
        <v>2.0</v>
      </c>
      <c r="AI7" s="18">
        <v>0.0</v>
      </c>
      <c r="AJ7" s="18">
        <v>2.0</v>
      </c>
      <c r="AK7" s="18">
        <v>2.0</v>
      </c>
      <c r="AL7" s="18">
        <v>2.0</v>
      </c>
      <c r="AM7" s="18">
        <v>2.0</v>
      </c>
      <c r="AN7" s="18">
        <v>2.0</v>
      </c>
      <c r="AO7" s="18">
        <v>2.0</v>
      </c>
      <c r="AP7" s="18">
        <v>2.0</v>
      </c>
      <c r="AQ7" s="18">
        <v>2.0</v>
      </c>
      <c r="AR7" s="18">
        <v>2.0</v>
      </c>
      <c r="AS7" s="18">
        <v>2.0</v>
      </c>
      <c r="AT7" s="18">
        <v>2.0</v>
      </c>
      <c r="AU7" s="18">
        <v>2.0</v>
      </c>
      <c r="AV7" s="18">
        <v>2.0</v>
      </c>
      <c r="AW7" s="18">
        <v>1.0</v>
      </c>
      <c r="AX7" s="18">
        <v>2.0</v>
      </c>
      <c r="AY7" s="18">
        <v>2.0</v>
      </c>
      <c r="AZ7" s="18">
        <v>2.0</v>
      </c>
      <c r="BA7" s="18">
        <v>2.0</v>
      </c>
      <c r="BB7" s="18">
        <v>2.0</v>
      </c>
      <c r="BC7" s="18">
        <v>2.0</v>
      </c>
      <c r="BD7" s="18">
        <v>2.0</v>
      </c>
      <c r="BE7" s="18">
        <v>2.0</v>
      </c>
      <c r="BF7" s="18">
        <v>2.0</v>
      </c>
      <c r="BG7" s="18">
        <v>2.0</v>
      </c>
      <c r="BH7" s="18">
        <v>2.0</v>
      </c>
      <c r="BI7" s="18">
        <v>2.0</v>
      </c>
      <c r="BJ7" s="18">
        <v>2.0</v>
      </c>
      <c r="BK7" s="18">
        <v>2.0</v>
      </c>
      <c r="BL7" s="18">
        <v>2.0</v>
      </c>
      <c r="BM7" s="18">
        <v>2.0</v>
      </c>
      <c r="BN7" s="18">
        <v>2.0</v>
      </c>
      <c r="BO7" s="18">
        <v>2.0</v>
      </c>
      <c r="BP7" s="18">
        <v>2.0</v>
      </c>
      <c r="BQ7" s="18">
        <v>0.0</v>
      </c>
      <c r="BR7" s="18">
        <v>2.0</v>
      </c>
      <c r="BS7" s="18">
        <v>2.0</v>
      </c>
      <c r="BT7" s="18">
        <v>2.0</v>
      </c>
      <c r="BU7" s="18">
        <v>2.0</v>
      </c>
      <c r="BV7" s="18">
        <v>2.0</v>
      </c>
      <c r="BW7" s="18">
        <v>2.0</v>
      </c>
      <c r="BX7" s="18">
        <v>2.0</v>
      </c>
      <c r="BY7" s="18">
        <v>2.0</v>
      </c>
      <c r="BZ7" s="18">
        <v>2.0</v>
      </c>
      <c r="CA7" s="18">
        <v>2.0</v>
      </c>
      <c r="CB7" s="18">
        <v>2.0</v>
      </c>
      <c r="CC7" s="18">
        <v>2.0</v>
      </c>
      <c r="CD7" s="18">
        <v>0.0</v>
      </c>
      <c r="CE7" s="18">
        <v>2.0</v>
      </c>
      <c r="CF7" s="18">
        <v>2.0</v>
      </c>
      <c r="CG7" s="18">
        <v>2.0</v>
      </c>
      <c r="CH7" s="18">
        <v>2.0</v>
      </c>
      <c r="CI7" s="18">
        <v>2.0</v>
      </c>
      <c r="CJ7" s="18">
        <v>2.0</v>
      </c>
      <c r="CK7" s="18">
        <v>2.0</v>
      </c>
      <c r="CL7" s="18">
        <v>2.0</v>
      </c>
      <c r="CM7" s="18">
        <v>2.0</v>
      </c>
      <c r="CN7" s="18">
        <v>2.0</v>
      </c>
      <c r="CO7" s="18">
        <v>2.0</v>
      </c>
      <c r="CP7" s="18">
        <v>2.0</v>
      </c>
      <c r="CQ7" s="18">
        <v>2.0</v>
      </c>
      <c r="CR7" s="18">
        <v>2.0</v>
      </c>
      <c r="CS7" s="18">
        <v>2.0</v>
      </c>
      <c r="CT7" s="18">
        <v>2.0</v>
      </c>
      <c r="CU7" s="18">
        <v>2.0</v>
      </c>
      <c r="CV7" s="18">
        <v>2.0</v>
      </c>
      <c r="CW7" s="18">
        <v>1.0</v>
      </c>
      <c r="CX7" s="18">
        <v>2.0</v>
      </c>
      <c r="CY7" s="18">
        <v>2.0</v>
      </c>
      <c r="CZ7" s="18">
        <v>1.0</v>
      </c>
      <c r="DA7" s="18">
        <v>1.0</v>
      </c>
      <c r="DB7" s="18">
        <v>2.0</v>
      </c>
      <c r="DC7" s="18">
        <v>2.0</v>
      </c>
      <c r="DD7" s="18">
        <v>2.0</v>
      </c>
      <c r="DE7" s="18">
        <v>3.0</v>
      </c>
      <c r="DF7" s="18">
        <v>3.0</v>
      </c>
      <c r="DG7" s="18">
        <v>3.0</v>
      </c>
      <c r="DH7" s="18">
        <v>3.0</v>
      </c>
      <c r="DI7" s="18">
        <v>3.0</v>
      </c>
      <c r="DJ7" s="18">
        <v>3.0</v>
      </c>
      <c r="DK7" s="18">
        <v>3.0</v>
      </c>
      <c r="DL7" s="18">
        <v>3.0</v>
      </c>
      <c r="DM7" s="18">
        <v>3.0</v>
      </c>
      <c r="DN7" s="18">
        <v>3.0</v>
      </c>
      <c r="DO7" s="18">
        <v>3.0</v>
      </c>
      <c r="DP7" s="18">
        <v>3.0</v>
      </c>
      <c r="DQ7" s="18">
        <v>3.0</v>
      </c>
      <c r="DR7" s="18">
        <v>3.0</v>
      </c>
      <c r="DS7" s="18">
        <v>3.0</v>
      </c>
      <c r="DT7" s="18">
        <v>3.0</v>
      </c>
      <c r="DU7" s="18">
        <v>3.0</v>
      </c>
      <c r="DV7" s="18">
        <v>3.0</v>
      </c>
      <c r="DW7" s="18">
        <v>3.0</v>
      </c>
      <c r="DX7" s="18">
        <v>3.0</v>
      </c>
      <c r="DY7" s="18">
        <v>3.0</v>
      </c>
      <c r="DZ7" s="18">
        <v>3.0</v>
      </c>
      <c r="EA7" s="18">
        <v>3.0</v>
      </c>
      <c r="EB7" s="18">
        <v>3.0</v>
      </c>
      <c r="EC7" s="18">
        <v>2.0</v>
      </c>
      <c r="ED7" s="18">
        <v>2.0</v>
      </c>
      <c r="EE7" s="18">
        <v>2.0</v>
      </c>
      <c r="EF7" s="18">
        <v>2.0</v>
      </c>
      <c r="EG7" s="18">
        <v>2.0</v>
      </c>
      <c r="EH7" s="18">
        <v>2.0</v>
      </c>
      <c r="EI7" s="18">
        <v>2.0</v>
      </c>
      <c r="EJ7" s="18">
        <v>2.0</v>
      </c>
      <c r="EK7" s="18">
        <v>1.0</v>
      </c>
      <c r="EL7" s="18">
        <v>2.0</v>
      </c>
      <c r="EM7" s="18">
        <v>2.0</v>
      </c>
      <c r="EN7" s="18">
        <v>1.0</v>
      </c>
      <c r="EO7" s="18">
        <v>2.0</v>
      </c>
    </row>
    <row r="8" ht="21.75" customHeight="1">
      <c r="A8" s="17" t="s">
        <v>202</v>
      </c>
      <c r="B8" s="17" t="s">
        <v>200</v>
      </c>
      <c r="C8" s="17" t="s">
        <v>203</v>
      </c>
      <c r="D8" s="17" t="s">
        <v>21</v>
      </c>
      <c r="E8" s="17" t="s">
        <v>197</v>
      </c>
      <c r="F8" s="18">
        <v>3.0</v>
      </c>
      <c r="G8" s="18">
        <v>3.0</v>
      </c>
      <c r="H8" s="18">
        <v>3.0</v>
      </c>
      <c r="I8" s="18">
        <v>3.0</v>
      </c>
      <c r="J8" s="18">
        <v>3.0</v>
      </c>
      <c r="K8" s="18">
        <v>3.0</v>
      </c>
      <c r="L8" s="18">
        <v>3.0</v>
      </c>
      <c r="M8" s="18">
        <v>3.0</v>
      </c>
      <c r="N8" s="18">
        <v>3.0</v>
      </c>
      <c r="O8" s="18">
        <v>3.0</v>
      </c>
      <c r="P8" s="18">
        <v>3.0</v>
      </c>
      <c r="Q8" s="18">
        <v>3.0</v>
      </c>
      <c r="R8" s="18">
        <v>3.0</v>
      </c>
      <c r="S8" s="18">
        <v>3.0</v>
      </c>
      <c r="T8" s="18">
        <v>2.0</v>
      </c>
      <c r="U8" s="18">
        <v>2.0</v>
      </c>
      <c r="V8" s="18">
        <v>2.0</v>
      </c>
      <c r="W8" s="18">
        <v>2.0</v>
      </c>
      <c r="X8" s="18">
        <v>1.0</v>
      </c>
      <c r="Y8" s="18">
        <v>2.0</v>
      </c>
      <c r="Z8" s="18">
        <v>2.0</v>
      </c>
      <c r="AA8" s="18">
        <v>2.0</v>
      </c>
      <c r="AB8" s="18">
        <v>0.0</v>
      </c>
      <c r="AC8" s="18">
        <v>1.0</v>
      </c>
      <c r="AD8" s="18">
        <v>2.0</v>
      </c>
      <c r="AE8" s="18">
        <v>2.0</v>
      </c>
      <c r="AF8" s="18">
        <v>2.0</v>
      </c>
      <c r="AG8" s="18">
        <v>2.0</v>
      </c>
      <c r="AH8" s="18">
        <v>2.0</v>
      </c>
      <c r="AI8" s="18">
        <v>0.0</v>
      </c>
      <c r="AJ8" s="18">
        <v>3.0</v>
      </c>
      <c r="AK8" s="18">
        <v>3.0</v>
      </c>
      <c r="AL8" s="18">
        <v>3.0</v>
      </c>
      <c r="AM8" s="18">
        <v>3.0</v>
      </c>
      <c r="AN8" s="18">
        <v>3.0</v>
      </c>
      <c r="AO8" s="18">
        <v>3.0</v>
      </c>
      <c r="AP8" s="18">
        <v>3.0</v>
      </c>
      <c r="AQ8" s="18">
        <v>3.0</v>
      </c>
      <c r="AR8" s="18">
        <v>3.0</v>
      </c>
      <c r="AS8" s="18">
        <v>3.0</v>
      </c>
      <c r="AT8" s="18">
        <v>3.0</v>
      </c>
      <c r="AU8" s="18">
        <v>3.0</v>
      </c>
      <c r="AV8" s="18">
        <v>3.0</v>
      </c>
      <c r="AW8" s="18">
        <v>2.0</v>
      </c>
      <c r="AX8" s="18">
        <v>2.0</v>
      </c>
      <c r="AY8" s="18">
        <v>2.0</v>
      </c>
      <c r="AZ8" s="18">
        <v>2.0</v>
      </c>
      <c r="BA8" s="18">
        <v>2.0</v>
      </c>
      <c r="BB8" s="18">
        <v>2.0</v>
      </c>
      <c r="BC8" s="18">
        <v>2.0</v>
      </c>
      <c r="BD8" s="18">
        <v>2.0</v>
      </c>
      <c r="BE8" s="18">
        <v>2.0</v>
      </c>
      <c r="BF8" s="18">
        <v>2.0</v>
      </c>
      <c r="BG8" s="18">
        <v>2.0</v>
      </c>
      <c r="BH8" s="18">
        <v>2.0</v>
      </c>
      <c r="BI8" s="18">
        <v>2.0</v>
      </c>
      <c r="BJ8" s="18">
        <v>2.0</v>
      </c>
      <c r="BK8" s="18">
        <v>2.0</v>
      </c>
      <c r="BL8" s="18">
        <v>2.0</v>
      </c>
      <c r="BM8" s="18">
        <v>2.0</v>
      </c>
      <c r="BN8" s="18">
        <v>2.0</v>
      </c>
      <c r="BO8" s="18">
        <v>2.0</v>
      </c>
      <c r="BP8" s="18">
        <v>2.0</v>
      </c>
      <c r="BQ8" s="18">
        <v>2.0</v>
      </c>
      <c r="BR8" s="18">
        <v>0.0</v>
      </c>
      <c r="BS8" s="18">
        <v>2.0</v>
      </c>
      <c r="BT8" s="18">
        <v>2.0</v>
      </c>
      <c r="BU8" s="18">
        <v>2.0</v>
      </c>
      <c r="BV8" s="18">
        <v>2.0</v>
      </c>
      <c r="BW8" s="18">
        <v>2.0</v>
      </c>
      <c r="BX8" s="18">
        <v>2.0</v>
      </c>
      <c r="BY8" s="18">
        <v>2.0</v>
      </c>
      <c r="BZ8" s="18">
        <v>2.0</v>
      </c>
      <c r="CA8" s="18">
        <v>2.0</v>
      </c>
      <c r="CB8" s="18">
        <v>2.0</v>
      </c>
      <c r="CC8" s="18">
        <v>2.0</v>
      </c>
      <c r="CD8" s="18">
        <v>0.0</v>
      </c>
      <c r="CE8" s="18">
        <v>2.0</v>
      </c>
      <c r="CF8" s="18">
        <v>2.0</v>
      </c>
      <c r="CG8" s="18">
        <v>2.0</v>
      </c>
      <c r="CH8" s="18">
        <v>2.0</v>
      </c>
      <c r="CI8" s="18">
        <v>2.0</v>
      </c>
      <c r="CJ8" s="18">
        <v>2.0</v>
      </c>
      <c r="CK8" s="18">
        <v>2.0</v>
      </c>
      <c r="CL8" s="18">
        <v>2.0</v>
      </c>
      <c r="CM8" s="18">
        <v>2.0</v>
      </c>
      <c r="CN8" s="18">
        <v>2.0</v>
      </c>
      <c r="CO8" s="18">
        <v>2.0</v>
      </c>
      <c r="CP8" s="18">
        <v>2.0</v>
      </c>
      <c r="CQ8" s="18">
        <v>2.0</v>
      </c>
      <c r="CR8" s="18">
        <v>2.0</v>
      </c>
      <c r="CS8" s="18">
        <v>2.0</v>
      </c>
      <c r="CT8" s="18">
        <v>2.0</v>
      </c>
      <c r="CU8" s="18">
        <v>2.0</v>
      </c>
      <c r="CV8" s="18">
        <v>2.0</v>
      </c>
      <c r="CW8" s="18">
        <v>1.0</v>
      </c>
      <c r="CX8" s="18">
        <v>2.0</v>
      </c>
      <c r="CY8" s="18">
        <v>2.0</v>
      </c>
      <c r="CZ8" s="18">
        <v>1.0</v>
      </c>
      <c r="DA8" s="18">
        <v>1.0</v>
      </c>
      <c r="DB8" s="18">
        <v>2.0</v>
      </c>
      <c r="DC8" s="18">
        <v>2.0</v>
      </c>
      <c r="DD8" s="18">
        <v>2.0</v>
      </c>
      <c r="DE8" s="18">
        <v>3.0</v>
      </c>
      <c r="DF8" s="18">
        <v>3.0</v>
      </c>
      <c r="DG8" s="18">
        <v>3.0</v>
      </c>
      <c r="DH8" s="18">
        <v>3.0</v>
      </c>
      <c r="DI8" s="18">
        <v>3.0</v>
      </c>
      <c r="DJ8" s="18">
        <v>3.0</v>
      </c>
      <c r="DK8" s="18">
        <v>3.0</v>
      </c>
      <c r="DL8" s="18">
        <v>3.0</v>
      </c>
      <c r="DM8" s="18">
        <v>3.0</v>
      </c>
      <c r="DN8" s="18">
        <v>3.0</v>
      </c>
      <c r="DO8" s="18">
        <v>3.0</v>
      </c>
      <c r="DP8" s="18">
        <v>3.0</v>
      </c>
      <c r="DQ8" s="18">
        <v>3.0</v>
      </c>
      <c r="DR8" s="18">
        <v>3.0</v>
      </c>
      <c r="DS8" s="18">
        <v>3.0</v>
      </c>
      <c r="DT8" s="18">
        <v>3.0</v>
      </c>
      <c r="DU8" s="18">
        <v>3.0</v>
      </c>
      <c r="DV8" s="18">
        <v>3.0</v>
      </c>
      <c r="DW8" s="18">
        <v>3.0</v>
      </c>
      <c r="DX8" s="18">
        <v>3.0</v>
      </c>
      <c r="DY8" s="18">
        <v>3.0</v>
      </c>
      <c r="DZ8" s="18">
        <v>3.0</v>
      </c>
      <c r="EA8" s="18">
        <v>3.0</v>
      </c>
      <c r="EB8" s="18">
        <v>3.0</v>
      </c>
      <c r="EC8" s="18">
        <v>3.0</v>
      </c>
      <c r="ED8" s="18">
        <v>3.0</v>
      </c>
      <c r="EE8" s="18">
        <v>3.0</v>
      </c>
      <c r="EF8" s="18">
        <v>3.0</v>
      </c>
      <c r="EG8" s="18">
        <v>1.0</v>
      </c>
      <c r="EH8" s="18">
        <v>3.0</v>
      </c>
      <c r="EI8" s="18">
        <v>3.0</v>
      </c>
      <c r="EJ8" s="18">
        <v>3.0</v>
      </c>
      <c r="EK8" s="18">
        <v>2.0</v>
      </c>
      <c r="EL8" s="18">
        <v>3.0</v>
      </c>
      <c r="EM8" s="18">
        <v>3.0</v>
      </c>
      <c r="EN8" s="18">
        <v>2.0</v>
      </c>
      <c r="EO8" s="18">
        <v>3.0</v>
      </c>
    </row>
    <row r="9" ht="21.75" customHeight="1">
      <c r="A9" s="17" t="s">
        <v>41</v>
      </c>
      <c r="B9" s="17" t="s">
        <v>42</v>
      </c>
      <c r="C9" s="17" t="s">
        <v>204</v>
      </c>
      <c r="D9" s="17" t="s">
        <v>21</v>
      </c>
      <c r="E9" s="17" t="s">
        <v>197</v>
      </c>
      <c r="F9" s="18">
        <v>3.0</v>
      </c>
      <c r="G9" s="18">
        <v>3.0</v>
      </c>
      <c r="H9" s="18">
        <v>3.0</v>
      </c>
      <c r="I9" s="18">
        <v>3.0</v>
      </c>
      <c r="J9" s="18">
        <v>3.0</v>
      </c>
      <c r="K9" s="18">
        <v>3.0</v>
      </c>
      <c r="L9" s="18">
        <v>3.0</v>
      </c>
      <c r="M9" s="18">
        <v>3.0</v>
      </c>
      <c r="N9" s="18">
        <v>3.0</v>
      </c>
      <c r="O9" s="18">
        <v>3.0</v>
      </c>
      <c r="P9" s="18">
        <v>3.0</v>
      </c>
      <c r="Q9" s="18">
        <v>3.0</v>
      </c>
      <c r="R9" s="18">
        <v>3.0</v>
      </c>
      <c r="S9" s="18">
        <v>3.0</v>
      </c>
      <c r="T9" s="18">
        <v>3.0</v>
      </c>
      <c r="U9" s="18">
        <v>3.0</v>
      </c>
      <c r="V9" s="18">
        <v>3.0</v>
      </c>
      <c r="W9" s="18">
        <v>3.0</v>
      </c>
      <c r="X9" s="18">
        <v>3.0</v>
      </c>
      <c r="Y9" s="18">
        <v>3.0</v>
      </c>
      <c r="Z9" s="18">
        <v>3.0</v>
      </c>
      <c r="AA9" s="18">
        <v>3.0</v>
      </c>
      <c r="AB9" s="18">
        <v>1.0</v>
      </c>
      <c r="AC9" s="18">
        <v>1.0</v>
      </c>
      <c r="AD9" s="18">
        <v>1.0</v>
      </c>
      <c r="AE9" s="18">
        <v>3.0</v>
      </c>
      <c r="AF9" s="18">
        <v>3.0</v>
      </c>
      <c r="AG9" s="18">
        <v>3.0</v>
      </c>
      <c r="AH9" s="18">
        <v>3.0</v>
      </c>
      <c r="AI9" s="18">
        <v>0.0</v>
      </c>
      <c r="AJ9" s="18">
        <v>3.0</v>
      </c>
      <c r="AK9" s="18">
        <v>3.0</v>
      </c>
      <c r="AL9" s="18">
        <v>3.0</v>
      </c>
      <c r="AM9" s="18">
        <v>3.0</v>
      </c>
      <c r="AN9" s="18">
        <v>3.0</v>
      </c>
      <c r="AO9" s="18">
        <v>3.0</v>
      </c>
      <c r="AP9" s="18">
        <v>3.0</v>
      </c>
      <c r="AQ9" s="18">
        <v>3.0</v>
      </c>
      <c r="AR9" s="18">
        <v>3.0</v>
      </c>
      <c r="AS9" s="18">
        <v>3.0</v>
      </c>
      <c r="AT9" s="18">
        <v>3.0</v>
      </c>
      <c r="AU9" s="18">
        <v>3.0</v>
      </c>
      <c r="AV9" s="18">
        <v>3.0</v>
      </c>
      <c r="AW9" s="18">
        <v>2.0</v>
      </c>
      <c r="AX9" s="18">
        <v>2.0</v>
      </c>
      <c r="AY9" s="18">
        <v>2.0</v>
      </c>
      <c r="AZ9" s="18">
        <v>2.0</v>
      </c>
      <c r="BA9" s="18">
        <v>2.0</v>
      </c>
      <c r="BB9" s="18">
        <v>2.0</v>
      </c>
      <c r="BC9" s="18">
        <v>2.0</v>
      </c>
      <c r="BD9" s="18">
        <v>2.0</v>
      </c>
      <c r="BE9" s="18">
        <v>2.0</v>
      </c>
      <c r="BF9" s="18">
        <v>2.0</v>
      </c>
      <c r="BG9" s="18">
        <v>2.0</v>
      </c>
      <c r="BH9" s="18">
        <v>2.0</v>
      </c>
      <c r="BI9" s="18">
        <v>2.0</v>
      </c>
      <c r="BJ9" s="18">
        <v>2.0</v>
      </c>
      <c r="BK9" s="18">
        <v>2.0</v>
      </c>
      <c r="BL9" s="18">
        <v>2.0</v>
      </c>
      <c r="BM9" s="18">
        <v>2.0</v>
      </c>
      <c r="BN9" s="18">
        <v>2.0</v>
      </c>
      <c r="BO9" s="18">
        <v>2.0</v>
      </c>
      <c r="BP9" s="18">
        <v>2.0</v>
      </c>
      <c r="BQ9" s="18">
        <v>0.0</v>
      </c>
      <c r="BR9" s="18">
        <v>2.0</v>
      </c>
      <c r="BS9" s="18">
        <v>2.0</v>
      </c>
      <c r="BT9" s="18">
        <v>2.0</v>
      </c>
      <c r="BU9" s="18">
        <v>2.0</v>
      </c>
      <c r="BV9" s="18">
        <v>2.0</v>
      </c>
      <c r="BW9" s="18">
        <v>2.0</v>
      </c>
      <c r="BX9" s="18">
        <v>2.0</v>
      </c>
      <c r="BY9" s="18">
        <v>2.0</v>
      </c>
      <c r="BZ9" s="18">
        <v>2.0</v>
      </c>
      <c r="CA9" s="18">
        <v>3.0</v>
      </c>
      <c r="CB9" s="18">
        <v>3.0</v>
      </c>
      <c r="CC9" s="18">
        <v>3.0</v>
      </c>
      <c r="CD9" s="18">
        <v>3.0</v>
      </c>
      <c r="CE9" s="18">
        <v>3.0</v>
      </c>
      <c r="CF9" s="18">
        <v>3.0</v>
      </c>
      <c r="CG9" s="18">
        <v>3.0</v>
      </c>
      <c r="CH9" s="18">
        <v>3.0</v>
      </c>
      <c r="CI9" s="18">
        <v>3.0</v>
      </c>
      <c r="CJ9" s="18">
        <v>3.0</v>
      </c>
      <c r="CK9" s="18">
        <v>3.0</v>
      </c>
      <c r="CL9" s="18">
        <v>3.0</v>
      </c>
      <c r="CM9" s="18">
        <v>3.0</v>
      </c>
      <c r="CN9" s="18">
        <v>3.0</v>
      </c>
      <c r="CO9" s="18">
        <v>3.0</v>
      </c>
      <c r="CP9" s="18">
        <v>3.0</v>
      </c>
      <c r="CQ9" s="18">
        <v>3.0</v>
      </c>
      <c r="CR9" s="18">
        <v>3.0</v>
      </c>
      <c r="CS9" s="18">
        <v>3.0</v>
      </c>
      <c r="CT9" s="18">
        <v>3.0</v>
      </c>
      <c r="CU9" s="18">
        <v>3.0</v>
      </c>
      <c r="CV9" s="18">
        <v>3.0</v>
      </c>
      <c r="CW9" s="18">
        <v>2.0</v>
      </c>
      <c r="CX9" s="18">
        <v>3.0</v>
      </c>
      <c r="CY9" s="18">
        <v>3.0</v>
      </c>
      <c r="CZ9" s="18">
        <v>2.0</v>
      </c>
      <c r="DA9" s="18">
        <v>2.0</v>
      </c>
      <c r="DB9" s="18">
        <v>3.0</v>
      </c>
      <c r="DC9" s="18">
        <v>3.0</v>
      </c>
      <c r="DD9" s="18">
        <v>3.0</v>
      </c>
      <c r="DE9" s="18">
        <v>3.0</v>
      </c>
      <c r="DF9" s="18">
        <v>3.0</v>
      </c>
      <c r="DG9" s="18">
        <v>3.0</v>
      </c>
      <c r="DH9" s="18">
        <v>3.0</v>
      </c>
      <c r="DI9" s="18">
        <v>3.0</v>
      </c>
      <c r="DJ9" s="18">
        <v>3.0</v>
      </c>
      <c r="DK9" s="18">
        <v>3.0</v>
      </c>
      <c r="DL9" s="18">
        <v>3.0</v>
      </c>
      <c r="DM9" s="18">
        <v>3.0</v>
      </c>
      <c r="DN9" s="18">
        <v>3.0</v>
      </c>
      <c r="DO9" s="18">
        <v>3.0</v>
      </c>
      <c r="DP9" s="18">
        <v>3.0</v>
      </c>
      <c r="DQ9" s="18">
        <v>3.0</v>
      </c>
      <c r="DR9" s="18">
        <v>3.0</v>
      </c>
      <c r="DS9" s="18">
        <v>2.0</v>
      </c>
      <c r="DT9" s="18">
        <v>3.0</v>
      </c>
      <c r="DU9" s="18">
        <v>2.0</v>
      </c>
      <c r="DV9" s="18">
        <v>2.0</v>
      </c>
      <c r="DW9" s="18">
        <v>2.0</v>
      </c>
      <c r="DX9" s="18">
        <v>2.0</v>
      </c>
      <c r="DY9" s="18">
        <v>2.0</v>
      </c>
      <c r="DZ9" s="18">
        <v>2.0</v>
      </c>
      <c r="EA9" s="18">
        <v>2.0</v>
      </c>
      <c r="EB9" s="18">
        <v>2.0</v>
      </c>
      <c r="EC9" s="18">
        <v>2.0</v>
      </c>
      <c r="ED9" s="18">
        <v>2.0</v>
      </c>
      <c r="EE9" s="18">
        <v>2.0</v>
      </c>
      <c r="EF9" s="18">
        <v>2.0</v>
      </c>
      <c r="EG9" s="18">
        <v>2.0</v>
      </c>
      <c r="EH9" s="18">
        <v>2.0</v>
      </c>
      <c r="EI9" s="18">
        <v>2.0</v>
      </c>
      <c r="EJ9" s="18">
        <v>2.0</v>
      </c>
      <c r="EK9" s="18">
        <v>1.0</v>
      </c>
      <c r="EL9" s="18">
        <v>2.0</v>
      </c>
      <c r="EM9" s="18">
        <v>2.0</v>
      </c>
      <c r="EN9" s="18">
        <v>1.0</v>
      </c>
      <c r="EO9" s="18">
        <v>2.0</v>
      </c>
    </row>
    <row r="10" ht="21.75" customHeight="1">
      <c r="A10" s="17" t="s">
        <v>34</v>
      </c>
      <c r="B10" s="17" t="s">
        <v>20</v>
      </c>
      <c r="C10" s="17" t="s">
        <v>203</v>
      </c>
      <c r="D10" s="17" t="s">
        <v>21</v>
      </c>
      <c r="E10" s="17" t="s">
        <v>197</v>
      </c>
      <c r="F10" s="18">
        <v>3.0</v>
      </c>
      <c r="G10" s="18">
        <v>3.0</v>
      </c>
      <c r="H10" s="18">
        <v>3.0</v>
      </c>
      <c r="I10" s="18">
        <v>3.0</v>
      </c>
      <c r="J10" s="18">
        <v>3.0</v>
      </c>
      <c r="K10" s="18">
        <v>3.0</v>
      </c>
      <c r="L10" s="18">
        <v>3.0</v>
      </c>
      <c r="M10" s="18">
        <v>3.0</v>
      </c>
      <c r="N10" s="18">
        <v>3.0</v>
      </c>
      <c r="O10" s="18">
        <v>3.0</v>
      </c>
      <c r="P10" s="18">
        <v>3.0</v>
      </c>
      <c r="Q10" s="18">
        <v>3.0</v>
      </c>
      <c r="R10" s="18">
        <v>3.0</v>
      </c>
      <c r="S10" s="18">
        <v>3.0</v>
      </c>
      <c r="T10" s="18">
        <v>3.0</v>
      </c>
      <c r="U10" s="18">
        <v>3.0</v>
      </c>
      <c r="V10" s="18">
        <v>3.0</v>
      </c>
      <c r="W10" s="18">
        <v>3.0</v>
      </c>
      <c r="X10" s="18">
        <v>2.0</v>
      </c>
      <c r="Y10" s="18">
        <v>3.0</v>
      </c>
      <c r="Z10" s="18">
        <v>3.0</v>
      </c>
      <c r="AA10" s="18">
        <v>3.0</v>
      </c>
      <c r="AB10" s="18">
        <v>2.0</v>
      </c>
      <c r="AC10" s="18">
        <v>3.0</v>
      </c>
      <c r="AD10" s="18">
        <v>3.0</v>
      </c>
      <c r="AE10" s="18">
        <v>3.0</v>
      </c>
      <c r="AF10" s="18">
        <v>3.0</v>
      </c>
      <c r="AG10" s="18">
        <v>3.0</v>
      </c>
      <c r="AH10" s="18">
        <v>3.0</v>
      </c>
      <c r="AI10" s="18">
        <v>2.0</v>
      </c>
      <c r="AJ10" s="18">
        <v>2.0</v>
      </c>
      <c r="AK10" s="18">
        <v>2.0</v>
      </c>
      <c r="AL10" s="18">
        <v>2.0</v>
      </c>
      <c r="AM10" s="18">
        <v>2.0</v>
      </c>
      <c r="AN10" s="18">
        <v>1.0</v>
      </c>
      <c r="AO10" s="18">
        <v>2.0</v>
      </c>
      <c r="AP10" s="18">
        <v>1.0</v>
      </c>
      <c r="AQ10" s="18">
        <v>1.0</v>
      </c>
      <c r="AR10" s="18">
        <v>2.0</v>
      </c>
      <c r="AS10" s="18">
        <v>2.0</v>
      </c>
      <c r="AT10" s="18">
        <v>2.0</v>
      </c>
      <c r="AU10" s="18">
        <v>2.0</v>
      </c>
      <c r="AV10" s="18">
        <v>2.0</v>
      </c>
      <c r="AW10" s="18">
        <v>1.0</v>
      </c>
      <c r="AX10" s="18">
        <v>3.0</v>
      </c>
      <c r="AY10" s="18">
        <v>3.0</v>
      </c>
      <c r="AZ10" s="18">
        <v>3.0</v>
      </c>
      <c r="BA10" s="18">
        <v>3.0</v>
      </c>
      <c r="BB10" s="18">
        <v>3.0</v>
      </c>
      <c r="BC10" s="18">
        <v>3.0</v>
      </c>
      <c r="BD10" s="18">
        <v>3.0</v>
      </c>
      <c r="BE10" s="18">
        <v>3.0</v>
      </c>
      <c r="BF10" s="18">
        <v>3.0</v>
      </c>
      <c r="BG10" s="18">
        <v>3.0</v>
      </c>
      <c r="BH10" s="18">
        <v>3.0</v>
      </c>
      <c r="BI10" s="18">
        <v>3.0</v>
      </c>
      <c r="BJ10" s="18">
        <v>3.0</v>
      </c>
      <c r="BK10" s="18">
        <v>3.0</v>
      </c>
      <c r="BL10" s="18">
        <v>3.0</v>
      </c>
      <c r="BM10" s="18">
        <v>3.0</v>
      </c>
      <c r="BN10" s="18">
        <v>3.0</v>
      </c>
      <c r="BO10" s="18">
        <v>3.0</v>
      </c>
      <c r="BP10" s="18">
        <v>3.0</v>
      </c>
      <c r="BQ10" s="18">
        <v>3.0</v>
      </c>
      <c r="BR10" s="18">
        <v>3.0</v>
      </c>
      <c r="BS10" s="18">
        <v>3.0</v>
      </c>
      <c r="BT10" s="18">
        <v>3.0</v>
      </c>
      <c r="BU10" s="18">
        <v>3.0</v>
      </c>
      <c r="BV10" s="18">
        <v>3.0</v>
      </c>
      <c r="BW10" s="18">
        <v>3.0</v>
      </c>
      <c r="BX10" s="18">
        <v>3.0</v>
      </c>
      <c r="BY10" s="18">
        <v>3.0</v>
      </c>
      <c r="BZ10" s="18">
        <v>3.0</v>
      </c>
      <c r="CA10" s="18">
        <v>3.0</v>
      </c>
      <c r="CB10" s="18">
        <v>3.0</v>
      </c>
      <c r="CC10" s="18">
        <v>3.0</v>
      </c>
      <c r="CD10" s="18">
        <v>3.0</v>
      </c>
      <c r="CE10" s="18">
        <v>3.0</v>
      </c>
      <c r="CF10" s="18">
        <v>3.0</v>
      </c>
      <c r="CG10" s="18">
        <v>3.0</v>
      </c>
      <c r="CH10" s="18">
        <v>3.0</v>
      </c>
      <c r="CI10" s="18">
        <v>3.0</v>
      </c>
      <c r="CJ10" s="18">
        <v>3.0</v>
      </c>
      <c r="CK10" s="18">
        <v>3.0</v>
      </c>
      <c r="CL10" s="18">
        <v>3.0</v>
      </c>
      <c r="CM10" s="18">
        <v>3.0</v>
      </c>
      <c r="CN10" s="18">
        <v>3.0</v>
      </c>
      <c r="CO10" s="18">
        <v>3.0</v>
      </c>
      <c r="CP10" s="18">
        <v>3.0</v>
      </c>
      <c r="CQ10" s="18">
        <v>3.0</v>
      </c>
      <c r="CR10" s="18">
        <v>3.0</v>
      </c>
      <c r="CS10" s="18">
        <v>3.0</v>
      </c>
      <c r="CT10" s="18">
        <v>3.0</v>
      </c>
      <c r="CU10" s="18">
        <v>3.0</v>
      </c>
      <c r="CV10" s="18">
        <v>3.0</v>
      </c>
      <c r="CW10" s="18">
        <v>2.0</v>
      </c>
      <c r="CX10" s="18">
        <v>3.0</v>
      </c>
      <c r="CY10" s="18">
        <v>3.0</v>
      </c>
      <c r="CZ10" s="18">
        <v>2.0</v>
      </c>
      <c r="DA10" s="18">
        <v>2.0</v>
      </c>
      <c r="DB10" s="18">
        <v>3.0</v>
      </c>
      <c r="DC10" s="18">
        <v>3.0</v>
      </c>
      <c r="DD10" s="18">
        <v>3.0</v>
      </c>
      <c r="DE10" s="18">
        <v>1.0</v>
      </c>
      <c r="DF10" s="18">
        <v>1.0</v>
      </c>
      <c r="DG10" s="18">
        <v>1.0</v>
      </c>
      <c r="DH10" s="18">
        <v>1.0</v>
      </c>
      <c r="DI10" s="18">
        <v>1.0</v>
      </c>
      <c r="DJ10" s="18">
        <v>1.0</v>
      </c>
      <c r="DK10" s="18">
        <v>1.0</v>
      </c>
      <c r="DL10" s="18">
        <v>1.0</v>
      </c>
      <c r="DM10" s="18">
        <v>2.0</v>
      </c>
      <c r="DN10" s="18">
        <v>0.0</v>
      </c>
      <c r="DO10" s="18">
        <v>1.0</v>
      </c>
      <c r="DP10" s="18">
        <v>1.0</v>
      </c>
      <c r="DQ10" s="18">
        <v>0.0</v>
      </c>
      <c r="DR10" s="18">
        <v>3.0</v>
      </c>
      <c r="DS10" s="18">
        <v>3.0</v>
      </c>
      <c r="DT10" s="18">
        <v>3.0</v>
      </c>
      <c r="DU10" s="18">
        <v>3.0</v>
      </c>
      <c r="DV10" s="18">
        <v>3.0</v>
      </c>
      <c r="DW10" s="18">
        <v>3.0</v>
      </c>
      <c r="DX10" s="18">
        <v>3.0</v>
      </c>
      <c r="DY10" s="18">
        <v>3.0</v>
      </c>
      <c r="DZ10" s="18">
        <v>3.0</v>
      </c>
      <c r="EA10" s="18">
        <v>3.0</v>
      </c>
      <c r="EB10" s="18">
        <v>3.0</v>
      </c>
      <c r="EC10" s="18">
        <v>3.0</v>
      </c>
      <c r="ED10" s="18">
        <v>3.0</v>
      </c>
      <c r="EE10" s="18">
        <v>3.0</v>
      </c>
      <c r="EF10" s="18">
        <v>3.0</v>
      </c>
      <c r="EG10" s="18">
        <v>3.0</v>
      </c>
      <c r="EH10" s="18">
        <v>3.0</v>
      </c>
      <c r="EI10" s="18">
        <v>3.0</v>
      </c>
      <c r="EJ10" s="18">
        <v>3.0</v>
      </c>
      <c r="EK10" s="18">
        <v>3.0</v>
      </c>
      <c r="EL10" s="18">
        <v>3.0</v>
      </c>
      <c r="EM10" s="18">
        <v>3.0</v>
      </c>
      <c r="EN10" s="18">
        <v>2.0</v>
      </c>
      <c r="EO10" s="18">
        <v>3.0</v>
      </c>
    </row>
    <row r="11" ht="21.75" customHeight="1">
      <c r="A11" s="17" t="s">
        <v>205</v>
      </c>
      <c r="B11" s="17" t="s">
        <v>20</v>
      </c>
      <c r="C11" s="17" t="s">
        <v>203</v>
      </c>
      <c r="D11" s="17" t="s">
        <v>21</v>
      </c>
      <c r="E11" s="17" t="s">
        <v>206</v>
      </c>
      <c r="F11" s="18">
        <v>3.0</v>
      </c>
      <c r="G11" s="18">
        <v>3.0</v>
      </c>
      <c r="H11" s="18">
        <v>3.0</v>
      </c>
      <c r="I11" s="18">
        <v>3.0</v>
      </c>
      <c r="J11" s="18">
        <v>3.0</v>
      </c>
      <c r="K11" s="18">
        <v>3.0</v>
      </c>
      <c r="L11" s="18">
        <v>3.0</v>
      </c>
      <c r="M11" s="18">
        <v>3.0</v>
      </c>
      <c r="N11" s="18">
        <v>3.0</v>
      </c>
      <c r="O11" s="18">
        <v>3.0</v>
      </c>
      <c r="P11" s="18">
        <v>3.0</v>
      </c>
      <c r="Q11" s="18">
        <v>3.0</v>
      </c>
      <c r="R11" s="18">
        <v>3.0</v>
      </c>
      <c r="S11" s="18">
        <v>3.0</v>
      </c>
      <c r="T11" s="18">
        <v>3.0</v>
      </c>
      <c r="U11" s="18">
        <v>3.0</v>
      </c>
      <c r="V11" s="18">
        <v>3.0</v>
      </c>
      <c r="W11" s="18">
        <v>3.0</v>
      </c>
      <c r="X11" s="18">
        <v>3.0</v>
      </c>
      <c r="Y11" s="18">
        <v>3.0</v>
      </c>
      <c r="Z11" s="18">
        <v>3.0</v>
      </c>
      <c r="AA11" s="18">
        <v>3.0</v>
      </c>
      <c r="AB11" s="18">
        <v>2.0</v>
      </c>
      <c r="AC11" s="18">
        <v>3.0</v>
      </c>
      <c r="AD11" s="18">
        <v>3.0</v>
      </c>
      <c r="AE11" s="18">
        <v>3.0</v>
      </c>
      <c r="AF11" s="18">
        <v>3.0</v>
      </c>
      <c r="AG11" s="18">
        <v>3.0</v>
      </c>
      <c r="AH11" s="18">
        <v>3.0</v>
      </c>
      <c r="AI11" s="18">
        <v>2.0</v>
      </c>
      <c r="AJ11" s="18">
        <v>2.0</v>
      </c>
      <c r="AK11" s="18">
        <v>2.0</v>
      </c>
      <c r="AL11" s="18">
        <v>2.0</v>
      </c>
      <c r="AM11" s="18">
        <v>2.0</v>
      </c>
      <c r="AN11" s="18">
        <v>1.0</v>
      </c>
      <c r="AO11" s="18">
        <v>2.0</v>
      </c>
      <c r="AP11" s="18">
        <v>2.0</v>
      </c>
      <c r="AQ11" s="18">
        <v>1.0</v>
      </c>
      <c r="AR11" s="18">
        <v>1.0</v>
      </c>
      <c r="AS11" s="18">
        <v>2.0</v>
      </c>
      <c r="AT11" s="18">
        <v>2.0</v>
      </c>
      <c r="AU11" s="18">
        <v>2.0</v>
      </c>
      <c r="AV11" s="18">
        <v>2.0</v>
      </c>
      <c r="AW11" s="18">
        <v>1.0</v>
      </c>
      <c r="AX11" s="18">
        <v>3.0</v>
      </c>
      <c r="AY11" s="18">
        <v>3.0</v>
      </c>
      <c r="AZ11" s="18">
        <v>3.0</v>
      </c>
      <c r="BA11" s="18">
        <v>3.0</v>
      </c>
      <c r="BB11" s="18">
        <v>3.0</v>
      </c>
      <c r="BC11" s="18">
        <v>3.0</v>
      </c>
      <c r="BD11" s="18">
        <v>3.0</v>
      </c>
      <c r="BE11" s="18">
        <v>3.0</v>
      </c>
      <c r="BF11" s="18">
        <v>3.0</v>
      </c>
      <c r="BG11" s="18">
        <v>3.0</v>
      </c>
      <c r="BH11" s="18">
        <v>3.0</v>
      </c>
      <c r="BI11" s="18">
        <v>3.0</v>
      </c>
      <c r="BJ11" s="18">
        <v>3.0</v>
      </c>
      <c r="BK11" s="18">
        <v>3.0</v>
      </c>
      <c r="BL11" s="18">
        <v>3.0</v>
      </c>
      <c r="BM11" s="18">
        <v>2.0</v>
      </c>
      <c r="BN11" s="18">
        <v>2.0</v>
      </c>
      <c r="BO11" s="18">
        <v>2.0</v>
      </c>
      <c r="BP11" s="18">
        <v>2.0</v>
      </c>
      <c r="BQ11" s="18">
        <v>2.0</v>
      </c>
      <c r="BR11" s="18">
        <v>2.0</v>
      </c>
      <c r="BS11" s="18">
        <v>2.0</v>
      </c>
      <c r="BT11" s="18">
        <v>2.0</v>
      </c>
      <c r="BU11" s="18">
        <v>2.0</v>
      </c>
      <c r="BV11" s="18">
        <v>2.0</v>
      </c>
      <c r="BW11" s="18">
        <v>2.0</v>
      </c>
      <c r="BX11" s="18">
        <v>2.0</v>
      </c>
      <c r="BY11" s="18">
        <v>2.0</v>
      </c>
      <c r="BZ11" s="18">
        <v>2.0</v>
      </c>
      <c r="CA11" s="18">
        <v>3.0</v>
      </c>
      <c r="CB11" s="18">
        <v>3.0</v>
      </c>
      <c r="CC11" s="18">
        <v>3.0</v>
      </c>
      <c r="CD11" s="18">
        <v>3.0</v>
      </c>
      <c r="CE11" s="18">
        <v>3.0</v>
      </c>
      <c r="CF11" s="18">
        <v>3.0</v>
      </c>
      <c r="CG11" s="18">
        <v>3.0</v>
      </c>
      <c r="CH11" s="18">
        <v>3.0</v>
      </c>
      <c r="CI11" s="18">
        <v>3.0</v>
      </c>
      <c r="CJ11" s="18">
        <v>3.0</v>
      </c>
      <c r="CK11" s="18">
        <v>3.0</v>
      </c>
      <c r="CL11" s="18">
        <v>3.0</v>
      </c>
      <c r="CM11" s="18">
        <v>3.0</v>
      </c>
      <c r="CN11" s="18">
        <v>3.0</v>
      </c>
      <c r="CO11" s="18">
        <v>3.0</v>
      </c>
      <c r="CP11" s="18">
        <v>3.0</v>
      </c>
      <c r="CQ11" s="18">
        <v>3.0</v>
      </c>
      <c r="CR11" s="18">
        <v>3.0</v>
      </c>
      <c r="CS11" s="18">
        <v>3.0</v>
      </c>
      <c r="CT11" s="18">
        <v>3.0</v>
      </c>
      <c r="CU11" s="18">
        <v>3.0</v>
      </c>
      <c r="CV11" s="18">
        <v>3.0</v>
      </c>
      <c r="CW11" s="18">
        <v>2.0</v>
      </c>
      <c r="CX11" s="18">
        <v>3.0</v>
      </c>
      <c r="CY11" s="18">
        <v>3.0</v>
      </c>
      <c r="CZ11" s="18">
        <v>2.0</v>
      </c>
      <c r="DA11" s="18">
        <v>2.0</v>
      </c>
      <c r="DB11" s="18">
        <v>3.0</v>
      </c>
      <c r="DC11" s="18">
        <v>3.0</v>
      </c>
      <c r="DD11" s="18">
        <v>3.0</v>
      </c>
      <c r="DE11" s="18">
        <v>1.0</v>
      </c>
      <c r="DF11" s="18">
        <v>1.0</v>
      </c>
      <c r="DG11" s="18">
        <v>1.0</v>
      </c>
      <c r="DH11" s="18">
        <v>1.0</v>
      </c>
      <c r="DI11" s="18">
        <v>1.0</v>
      </c>
      <c r="DJ11" s="18">
        <v>1.0</v>
      </c>
      <c r="DK11" s="18">
        <v>1.0</v>
      </c>
      <c r="DL11" s="18">
        <v>1.0</v>
      </c>
      <c r="DM11" s="18">
        <v>2.0</v>
      </c>
      <c r="DN11" s="18">
        <v>3.0</v>
      </c>
      <c r="DO11" s="18">
        <v>1.0</v>
      </c>
      <c r="DP11" s="18">
        <v>1.0</v>
      </c>
      <c r="DQ11" s="18">
        <v>0.0</v>
      </c>
      <c r="DR11" s="18">
        <v>3.0</v>
      </c>
      <c r="DS11" s="18">
        <v>3.0</v>
      </c>
      <c r="DT11" s="18">
        <v>3.0</v>
      </c>
      <c r="DU11" s="18">
        <v>3.0</v>
      </c>
      <c r="DV11" s="18">
        <v>3.0</v>
      </c>
      <c r="DW11" s="18">
        <v>3.0</v>
      </c>
      <c r="DX11" s="18">
        <v>3.0</v>
      </c>
      <c r="DY11" s="18">
        <v>3.0</v>
      </c>
      <c r="DZ11" s="18">
        <v>3.0</v>
      </c>
      <c r="EA11" s="18">
        <v>3.0</v>
      </c>
      <c r="EB11" s="18">
        <v>3.0</v>
      </c>
      <c r="EC11" s="18">
        <v>2.0</v>
      </c>
      <c r="ED11" s="18">
        <v>2.0</v>
      </c>
      <c r="EE11" s="18">
        <v>2.0</v>
      </c>
      <c r="EF11" s="18">
        <v>2.0</v>
      </c>
      <c r="EG11" s="18">
        <v>2.0</v>
      </c>
      <c r="EH11" s="18">
        <v>2.0</v>
      </c>
      <c r="EI11" s="18">
        <v>2.0</v>
      </c>
      <c r="EJ11" s="18">
        <v>2.0</v>
      </c>
      <c r="EK11" s="18">
        <v>1.0</v>
      </c>
      <c r="EL11" s="18">
        <v>2.0</v>
      </c>
      <c r="EM11" s="18">
        <v>2.0</v>
      </c>
      <c r="EN11" s="18">
        <v>1.0</v>
      </c>
      <c r="EO11" s="18">
        <v>2.0</v>
      </c>
    </row>
    <row r="12" ht="21.75" customHeight="1">
      <c r="A12" s="17" t="s">
        <v>19</v>
      </c>
      <c r="B12" s="17" t="s">
        <v>20</v>
      </c>
      <c r="C12" s="17" t="s">
        <v>203</v>
      </c>
      <c r="D12" s="17" t="s">
        <v>21</v>
      </c>
      <c r="E12" s="17" t="s">
        <v>197</v>
      </c>
      <c r="F12" s="18">
        <v>3.0</v>
      </c>
      <c r="G12" s="18">
        <v>3.0</v>
      </c>
      <c r="H12" s="18">
        <v>3.0</v>
      </c>
      <c r="I12" s="18">
        <v>3.0</v>
      </c>
      <c r="J12" s="18">
        <v>3.0</v>
      </c>
      <c r="K12" s="18">
        <v>3.0</v>
      </c>
      <c r="L12" s="18">
        <v>3.0</v>
      </c>
      <c r="M12" s="18">
        <v>3.0</v>
      </c>
      <c r="N12" s="18">
        <v>3.0</v>
      </c>
      <c r="O12" s="18">
        <v>3.0</v>
      </c>
      <c r="P12" s="18">
        <v>3.0</v>
      </c>
      <c r="Q12" s="18">
        <v>3.0</v>
      </c>
      <c r="R12" s="18">
        <v>3.0</v>
      </c>
      <c r="S12" s="18">
        <v>3.0</v>
      </c>
      <c r="T12" s="18">
        <v>3.0</v>
      </c>
      <c r="U12" s="18">
        <v>3.0</v>
      </c>
      <c r="V12" s="18">
        <v>3.0</v>
      </c>
      <c r="W12" s="18">
        <v>3.0</v>
      </c>
      <c r="X12" s="18">
        <v>3.0</v>
      </c>
      <c r="Y12" s="18">
        <v>3.0</v>
      </c>
      <c r="Z12" s="18">
        <v>3.0</v>
      </c>
      <c r="AA12" s="18">
        <v>3.0</v>
      </c>
      <c r="AB12" s="18">
        <v>2.0</v>
      </c>
      <c r="AC12" s="18">
        <v>3.0</v>
      </c>
      <c r="AD12" s="18">
        <v>3.0</v>
      </c>
      <c r="AE12" s="18">
        <v>3.0</v>
      </c>
      <c r="AF12" s="18">
        <v>3.0</v>
      </c>
      <c r="AG12" s="18">
        <v>3.0</v>
      </c>
      <c r="AH12" s="18">
        <v>3.0</v>
      </c>
      <c r="AI12" s="18">
        <v>2.0</v>
      </c>
      <c r="AJ12" s="18">
        <v>3.0</v>
      </c>
      <c r="AK12" s="18">
        <v>3.0</v>
      </c>
      <c r="AL12" s="18">
        <v>3.0</v>
      </c>
      <c r="AM12" s="18">
        <v>3.0</v>
      </c>
      <c r="AN12" s="18">
        <v>3.0</v>
      </c>
      <c r="AO12" s="18">
        <v>3.0</v>
      </c>
      <c r="AP12" s="18">
        <v>3.0</v>
      </c>
      <c r="AQ12" s="18">
        <v>3.0</v>
      </c>
      <c r="AR12" s="18">
        <v>3.0</v>
      </c>
      <c r="AS12" s="18">
        <v>3.0</v>
      </c>
      <c r="AT12" s="18">
        <v>3.0</v>
      </c>
      <c r="AU12" s="18">
        <v>3.0</v>
      </c>
      <c r="AV12" s="18">
        <v>3.0</v>
      </c>
      <c r="AW12" s="18">
        <v>1.0</v>
      </c>
      <c r="AX12" s="18">
        <v>3.0</v>
      </c>
      <c r="AY12" s="18">
        <v>3.0</v>
      </c>
      <c r="AZ12" s="18">
        <v>3.0</v>
      </c>
      <c r="BA12" s="18">
        <v>3.0</v>
      </c>
      <c r="BB12" s="18">
        <v>3.0</v>
      </c>
      <c r="BC12" s="18">
        <v>3.0</v>
      </c>
      <c r="BD12" s="18">
        <v>3.0</v>
      </c>
      <c r="BE12" s="18">
        <v>3.0</v>
      </c>
      <c r="BF12" s="18">
        <v>3.0</v>
      </c>
      <c r="BG12" s="18">
        <v>3.0</v>
      </c>
      <c r="BH12" s="18">
        <v>3.0</v>
      </c>
      <c r="BI12" s="18">
        <v>3.0</v>
      </c>
      <c r="BJ12" s="18">
        <v>3.0</v>
      </c>
      <c r="BK12" s="18">
        <v>3.0</v>
      </c>
      <c r="BL12" s="18">
        <v>3.0</v>
      </c>
      <c r="BM12" s="18">
        <v>3.0</v>
      </c>
      <c r="BN12" s="18">
        <v>3.0</v>
      </c>
      <c r="BO12" s="18">
        <v>3.0</v>
      </c>
      <c r="BP12" s="18">
        <v>3.0</v>
      </c>
      <c r="BQ12" s="18">
        <v>3.0</v>
      </c>
      <c r="BR12" s="18">
        <v>3.0</v>
      </c>
      <c r="BS12" s="18">
        <v>3.0</v>
      </c>
      <c r="BT12" s="18">
        <v>3.0</v>
      </c>
      <c r="BU12" s="18">
        <v>3.0</v>
      </c>
      <c r="BV12" s="18">
        <v>3.0</v>
      </c>
      <c r="BW12" s="18">
        <v>3.0</v>
      </c>
      <c r="BX12" s="18">
        <v>3.0</v>
      </c>
      <c r="BY12" s="18">
        <v>3.0</v>
      </c>
      <c r="BZ12" s="18">
        <v>3.0</v>
      </c>
      <c r="CA12" s="18">
        <v>3.0</v>
      </c>
      <c r="CB12" s="18">
        <v>3.0</v>
      </c>
      <c r="CC12" s="18">
        <v>3.0</v>
      </c>
      <c r="CD12" s="18">
        <v>3.0</v>
      </c>
      <c r="CE12" s="18">
        <v>3.0</v>
      </c>
      <c r="CF12" s="18">
        <v>3.0</v>
      </c>
      <c r="CG12" s="18">
        <v>3.0</v>
      </c>
      <c r="CH12" s="18">
        <v>3.0</v>
      </c>
      <c r="CI12" s="18">
        <v>3.0</v>
      </c>
      <c r="CJ12" s="18">
        <v>3.0</v>
      </c>
      <c r="CK12" s="18">
        <v>3.0</v>
      </c>
      <c r="CL12" s="18">
        <v>3.0</v>
      </c>
      <c r="CM12" s="18">
        <v>3.0</v>
      </c>
      <c r="CN12" s="18">
        <v>3.0</v>
      </c>
      <c r="CO12" s="18">
        <v>2.0</v>
      </c>
      <c r="CP12" s="18">
        <v>2.0</v>
      </c>
      <c r="CQ12" s="18">
        <v>2.0</v>
      </c>
      <c r="CR12" s="18">
        <v>2.0</v>
      </c>
      <c r="CS12" s="18">
        <v>2.0</v>
      </c>
      <c r="CT12" s="18">
        <v>2.0</v>
      </c>
      <c r="CU12" s="18">
        <v>2.0</v>
      </c>
      <c r="CV12" s="18">
        <v>2.0</v>
      </c>
      <c r="CW12" s="18">
        <v>1.0</v>
      </c>
      <c r="CX12" s="18">
        <v>2.0</v>
      </c>
      <c r="CY12" s="18">
        <v>2.0</v>
      </c>
      <c r="CZ12" s="18">
        <v>1.0</v>
      </c>
      <c r="DA12" s="18">
        <v>1.0</v>
      </c>
      <c r="DB12" s="18">
        <v>2.0</v>
      </c>
      <c r="DC12" s="18">
        <v>2.0</v>
      </c>
      <c r="DD12" s="18">
        <v>2.0</v>
      </c>
      <c r="DE12" s="18">
        <v>2.0</v>
      </c>
      <c r="DF12" s="18">
        <v>2.0</v>
      </c>
      <c r="DG12" s="18">
        <v>2.0</v>
      </c>
      <c r="DH12" s="18">
        <v>2.0</v>
      </c>
      <c r="DI12" s="18">
        <v>2.0</v>
      </c>
      <c r="DJ12" s="18">
        <v>2.0</v>
      </c>
      <c r="DK12" s="18">
        <v>2.0</v>
      </c>
      <c r="DL12" s="18">
        <v>2.0</v>
      </c>
      <c r="DM12" s="18">
        <v>3.0</v>
      </c>
      <c r="DN12" s="18">
        <v>0.0</v>
      </c>
      <c r="DO12" s="18">
        <v>2.0</v>
      </c>
      <c r="DP12" s="18">
        <v>2.0</v>
      </c>
      <c r="DQ12" s="18">
        <v>0.0</v>
      </c>
      <c r="DR12" s="18">
        <v>3.0</v>
      </c>
      <c r="DS12" s="18">
        <v>3.0</v>
      </c>
      <c r="DT12" s="18">
        <v>3.0</v>
      </c>
      <c r="DU12" s="18">
        <v>3.0</v>
      </c>
      <c r="DV12" s="18">
        <v>3.0</v>
      </c>
      <c r="DW12" s="18">
        <v>3.0</v>
      </c>
      <c r="DX12" s="18">
        <v>3.0</v>
      </c>
      <c r="DY12" s="18">
        <v>3.0</v>
      </c>
      <c r="DZ12" s="18">
        <v>3.0</v>
      </c>
      <c r="EA12" s="18">
        <v>3.0</v>
      </c>
      <c r="EB12" s="18">
        <v>3.0</v>
      </c>
      <c r="EC12" s="18">
        <v>3.0</v>
      </c>
      <c r="ED12" s="18">
        <v>3.0</v>
      </c>
      <c r="EE12" s="18">
        <v>3.0</v>
      </c>
      <c r="EF12" s="18">
        <v>3.0</v>
      </c>
      <c r="EG12" s="18">
        <v>3.0</v>
      </c>
      <c r="EH12" s="18">
        <v>3.0</v>
      </c>
      <c r="EI12" s="18">
        <v>3.0</v>
      </c>
      <c r="EJ12" s="18">
        <v>3.0</v>
      </c>
      <c r="EK12" s="18">
        <v>2.0</v>
      </c>
      <c r="EL12" s="18">
        <v>3.0</v>
      </c>
      <c r="EM12" s="18">
        <v>3.0</v>
      </c>
      <c r="EN12" s="18">
        <v>2.0</v>
      </c>
      <c r="EO12" s="18">
        <v>3.0</v>
      </c>
    </row>
    <row r="13" ht="21.75" customHeight="1">
      <c r="A13" s="17" t="s">
        <v>207</v>
      </c>
      <c r="B13" s="17" t="s">
        <v>208</v>
      </c>
      <c r="C13" s="17" t="s">
        <v>203</v>
      </c>
      <c r="D13" s="17" t="s">
        <v>21</v>
      </c>
      <c r="E13" s="17" t="s">
        <v>197</v>
      </c>
      <c r="F13" s="18">
        <v>3.0</v>
      </c>
      <c r="G13" s="18">
        <v>2.0</v>
      </c>
      <c r="H13" s="18">
        <v>2.0</v>
      </c>
      <c r="I13" s="18">
        <v>2.0</v>
      </c>
      <c r="J13" s="18">
        <v>2.0</v>
      </c>
      <c r="K13" s="18">
        <v>2.0</v>
      </c>
      <c r="L13" s="18">
        <v>2.0</v>
      </c>
      <c r="M13" s="18">
        <v>2.0</v>
      </c>
      <c r="N13" s="18">
        <v>2.0</v>
      </c>
      <c r="O13" s="18">
        <v>3.0</v>
      </c>
      <c r="P13" s="18">
        <v>3.0</v>
      </c>
      <c r="Q13" s="18">
        <v>3.0</v>
      </c>
      <c r="R13" s="18">
        <v>3.0</v>
      </c>
      <c r="S13" s="18">
        <v>2.0</v>
      </c>
      <c r="T13" s="18">
        <v>1.0</v>
      </c>
      <c r="U13" s="18">
        <v>3.0</v>
      </c>
      <c r="V13" s="18">
        <v>1.0</v>
      </c>
      <c r="W13" s="18">
        <v>1.0</v>
      </c>
      <c r="X13" s="18">
        <v>1.0</v>
      </c>
      <c r="Y13" s="18">
        <v>1.0</v>
      </c>
      <c r="Z13" s="18">
        <v>1.0</v>
      </c>
      <c r="AA13" s="18">
        <v>1.0</v>
      </c>
      <c r="AB13" s="18">
        <v>0.0</v>
      </c>
      <c r="AC13" s="18">
        <v>0.0</v>
      </c>
      <c r="AD13" s="18">
        <v>0.0</v>
      </c>
      <c r="AE13" s="18">
        <v>1.0</v>
      </c>
      <c r="AF13" s="18">
        <v>0.0</v>
      </c>
      <c r="AG13" s="18">
        <v>1.0</v>
      </c>
      <c r="AH13" s="18">
        <v>1.0</v>
      </c>
      <c r="AI13" s="18">
        <v>0.0</v>
      </c>
      <c r="AJ13" s="18">
        <v>1.0</v>
      </c>
      <c r="AK13" s="18">
        <v>1.0</v>
      </c>
      <c r="AL13" s="18">
        <v>1.0</v>
      </c>
      <c r="AM13" s="18">
        <v>1.0</v>
      </c>
      <c r="AN13" s="18">
        <v>1.0</v>
      </c>
      <c r="AO13" s="18">
        <v>1.0</v>
      </c>
      <c r="AP13" s="18">
        <v>0.0</v>
      </c>
      <c r="AQ13" s="18">
        <v>0.0</v>
      </c>
      <c r="AR13" s="18">
        <v>0.0</v>
      </c>
      <c r="AS13" s="18">
        <v>1.0</v>
      </c>
      <c r="AT13" s="18">
        <v>1.0</v>
      </c>
      <c r="AU13" s="18">
        <v>1.0</v>
      </c>
      <c r="AV13" s="18">
        <v>1.0</v>
      </c>
      <c r="AW13" s="18">
        <v>0.0</v>
      </c>
      <c r="AX13" s="18">
        <v>2.0</v>
      </c>
      <c r="AY13" s="18">
        <v>2.0</v>
      </c>
      <c r="AZ13" s="18">
        <v>2.0</v>
      </c>
      <c r="BA13" s="18">
        <v>2.0</v>
      </c>
      <c r="BB13" s="18">
        <v>2.0</v>
      </c>
      <c r="BC13" s="18">
        <v>2.0</v>
      </c>
      <c r="BD13" s="18">
        <v>2.0</v>
      </c>
      <c r="BE13" s="18">
        <v>2.0</v>
      </c>
      <c r="BF13" s="18">
        <v>2.0</v>
      </c>
      <c r="BG13" s="18">
        <v>2.0</v>
      </c>
      <c r="BH13" s="18">
        <v>2.0</v>
      </c>
      <c r="BI13" s="18">
        <v>2.0</v>
      </c>
      <c r="BJ13" s="18">
        <v>2.0</v>
      </c>
      <c r="BK13" s="18">
        <v>2.0</v>
      </c>
      <c r="BL13" s="18">
        <v>2.0</v>
      </c>
      <c r="BM13" s="18">
        <v>2.0</v>
      </c>
      <c r="BN13" s="18">
        <v>2.0</v>
      </c>
      <c r="BO13" s="18">
        <v>2.0</v>
      </c>
      <c r="BP13" s="18">
        <v>2.0</v>
      </c>
      <c r="BQ13" s="18">
        <v>2.0</v>
      </c>
      <c r="BR13" s="18">
        <v>2.0</v>
      </c>
      <c r="BS13" s="18">
        <v>2.0</v>
      </c>
      <c r="BT13" s="18">
        <v>2.0</v>
      </c>
      <c r="BU13" s="18">
        <v>2.0</v>
      </c>
      <c r="BV13" s="18">
        <v>2.0</v>
      </c>
      <c r="BW13" s="18">
        <v>2.0</v>
      </c>
      <c r="BX13" s="18">
        <v>2.0</v>
      </c>
      <c r="BY13" s="18">
        <v>2.0</v>
      </c>
      <c r="BZ13" s="18">
        <v>2.0</v>
      </c>
      <c r="CA13" s="18">
        <v>1.0</v>
      </c>
      <c r="CB13" s="18">
        <v>1.0</v>
      </c>
      <c r="CC13" s="18">
        <v>1.0</v>
      </c>
      <c r="CD13" s="18">
        <v>1.0</v>
      </c>
      <c r="CE13" s="18">
        <v>1.0</v>
      </c>
      <c r="CF13" s="18">
        <v>1.0</v>
      </c>
      <c r="CG13" s="18">
        <v>1.0</v>
      </c>
      <c r="CH13" s="18">
        <v>1.0</v>
      </c>
      <c r="CI13" s="18">
        <v>1.0</v>
      </c>
      <c r="CJ13" s="18">
        <v>1.0</v>
      </c>
      <c r="CK13" s="18">
        <v>1.0</v>
      </c>
      <c r="CL13" s="18">
        <v>1.0</v>
      </c>
      <c r="CM13" s="18">
        <v>1.0</v>
      </c>
      <c r="CN13" s="18">
        <v>1.0</v>
      </c>
      <c r="CO13" s="18">
        <v>2.0</v>
      </c>
      <c r="CP13" s="18">
        <v>2.0</v>
      </c>
      <c r="CQ13" s="18">
        <v>2.0</v>
      </c>
      <c r="CR13" s="18">
        <v>2.0</v>
      </c>
      <c r="CS13" s="18">
        <v>2.0</v>
      </c>
      <c r="CT13" s="18">
        <v>2.0</v>
      </c>
      <c r="CU13" s="18">
        <v>2.0</v>
      </c>
      <c r="CV13" s="18">
        <v>2.0</v>
      </c>
      <c r="CW13" s="18">
        <v>1.0</v>
      </c>
      <c r="CX13" s="18">
        <v>2.0</v>
      </c>
      <c r="CY13" s="18">
        <v>2.0</v>
      </c>
      <c r="CZ13" s="18">
        <v>1.0</v>
      </c>
      <c r="DA13" s="18">
        <v>1.0</v>
      </c>
      <c r="DB13" s="18">
        <v>2.0</v>
      </c>
      <c r="DC13" s="18">
        <v>2.0</v>
      </c>
      <c r="DD13" s="18">
        <v>2.0</v>
      </c>
      <c r="DE13" s="18">
        <v>1.0</v>
      </c>
      <c r="DF13" s="18">
        <v>1.0</v>
      </c>
      <c r="DG13" s="18">
        <v>1.0</v>
      </c>
      <c r="DH13" s="18">
        <v>1.0</v>
      </c>
      <c r="DI13" s="18">
        <v>1.0</v>
      </c>
      <c r="DJ13" s="18">
        <v>1.0</v>
      </c>
      <c r="DK13" s="18">
        <v>1.0</v>
      </c>
      <c r="DL13" s="18">
        <v>1.0</v>
      </c>
      <c r="DM13" s="18">
        <v>2.0</v>
      </c>
      <c r="DN13" s="18">
        <v>0.0</v>
      </c>
      <c r="DO13" s="18">
        <v>1.0</v>
      </c>
      <c r="DP13" s="18">
        <v>1.0</v>
      </c>
      <c r="DQ13" s="18">
        <v>1.0</v>
      </c>
      <c r="DR13" s="18">
        <v>3.0</v>
      </c>
      <c r="DS13" s="18">
        <v>3.0</v>
      </c>
      <c r="DT13" s="18">
        <v>3.0</v>
      </c>
      <c r="DU13" s="18">
        <v>3.0</v>
      </c>
      <c r="DV13" s="18">
        <v>3.0</v>
      </c>
      <c r="DW13" s="18">
        <v>3.0</v>
      </c>
      <c r="DX13" s="18">
        <v>3.0</v>
      </c>
      <c r="DY13" s="18">
        <v>3.0</v>
      </c>
      <c r="DZ13" s="18">
        <v>3.0</v>
      </c>
      <c r="EA13" s="18">
        <v>3.0</v>
      </c>
      <c r="EB13" s="18">
        <v>3.0</v>
      </c>
      <c r="EC13" s="18">
        <v>1.0</v>
      </c>
      <c r="ED13" s="18">
        <v>1.0</v>
      </c>
      <c r="EE13" s="18">
        <v>1.0</v>
      </c>
      <c r="EF13" s="18">
        <v>1.0</v>
      </c>
      <c r="EG13" s="18">
        <v>1.0</v>
      </c>
      <c r="EH13" s="18">
        <v>1.0</v>
      </c>
      <c r="EI13" s="18">
        <v>1.0</v>
      </c>
      <c r="EJ13" s="18">
        <v>1.0</v>
      </c>
      <c r="EK13" s="18">
        <v>0.0</v>
      </c>
      <c r="EL13" s="18">
        <v>1.0</v>
      </c>
      <c r="EM13" s="18">
        <v>1.0</v>
      </c>
      <c r="EN13" s="18">
        <v>0.0</v>
      </c>
      <c r="EO13" s="18">
        <v>1.0</v>
      </c>
    </row>
    <row r="14" ht="21.75" customHeight="1">
      <c r="A14" s="17" t="s">
        <v>31</v>
      </c>
      <c r="B14" s="17" t="s">
        <v>32</v>
      </c>
      <c r="C14" s="17" t="s">
        <v>203</v>
      </c>
      <c r="D14" s="17" t="s">
        <v>21</v>
      </c>
      <c r="E14" s="17" t="s">
        <v>197</v>
      </c>
      <c r="F14" s="18">
        <v>3.0</v>
      </c>
      <c r="G14" s="18">
        <v>3.0</v>
      </c>
      <c r="H14" s="18">
        <v>3.0</v>
      </c>
      <c r="I14" s="18">
        <v>3.0</v>
      </c>
      <c r="J14" s="18">
        <v>3.0</v>
      </c>
      <c r="K14" s="18">
        <v>3.0</v>
      </c>
      <c r="L14" s="18">
        <v>3.0</v>
      </c>
      <c r="M14" s="18">
        <v>3.0</v>
      </c>
      <c r="N14" s="18">
        <v>3.0</v>
      </c>
      <c r="O14" s="18">
        <v>3.0</v>
      </c>
      <c r="P14" s="18">
        <v>3.0</v>
      </c>
      <c r="Q14" s="18">
        <v>3.0</v>
      </c>
      <c r="R14" s="18">
        <v>3.0</v>
      </c>
      <c r="S14" s="18">
        <v>3.0</v>
      </c>
      <c r="T14" s="18">
        <v>3.0</v>
      </c>
      <c r="U14" s="18">
        <v>3.0</v>
      </c>
      <c r="V14" s="18">
        <v>3.0</v>
      </c>
      <c r="W14" s="18">
        <v>3.0</v>
      </c>
      <c r="X14" s="18">
        <v>3.0</v>
      </c>
      <c r="Y14" s="18">
        <v>3.0</v>
      </c>
      <c r="Z14" s="18">
        <v>3.0</v>
      </c>
      <c r="AA14" s="18">
        <v>3.0</v>
      </c>
      <c r="AB14" s="18">
        <v>2.0</v>
      </c>
      <c r="AC14" s="18">
        <v>3.0</v>
      </c>
      <c r="AD14" s="18">
        <v>3.0</v>
      </c>
      <c r="AE14" s="18">
        <v>3.0</v>
      </c>
      <c r="AF14" s="18">
        <v>3.0</v>
      </c>
      <c r="AG14" s="18">
        <v>3.0</v>
      </c>
      <c r="AH14" s="18">
        <v>3.0</v>
      </c>
      <c r="AI14" s="18">
        <v>2.0</v>
      </c>
      <c r="AJ14" s="18">
        <v>2.0</v>
      </c>
      <c r="AK14" s="18">
        <v>2.0</v>
      </c>
      <c r="AL14" s="18">
        <v>2.0</v>
      </c>
      <c r="AM14" s="18">
        <v>2.0</v>
      </c>
      <c r="AN14" s="18">
        <v>2.0</v>
      </c>
      <c r="AO14" s="18">
        <v>2.0</v>
      </c>
      <c r="AP14" s="18">
        <v>2.0</v>
      </c>
      <c r="AQ14" s="18">
        <v>2.0</v>
      </c>
      <c r="AR14" s="18">
        <v>2.0</v>
      </c>
      <c r="AS14" s="18">
        <v>2.0</v>
      </c>
      <c r="AT14" s="18">
        <v>2.0</v>
      </c>
      <c r="AU14" s="18">
        <v>2.0</v>
      </c>
      <c r="AV14" s="18">
        <v>2.0</v>
      </c>
      <c r="AW14" s="18">
        <v>1.0</v>
      </c>
      <c r="AX14" s="18">
        <v>3.0</v>
      </c>
      <c r="AY14" s="18">
        <v>3.0</v>
      </c>
      <c r="AZ14" s="18">
        <v>3.0</v>
      </c>
      <c r="BA14" s="18">
        <v>3.0</v>
      </c>
      <c r="BB14" s="18">
        <v>3.0</v>
      </c>
      <c r="BC14" s="18">
        <v>3.0</v>
      </c>
      <c r="BD14" s="18">
        <v>3.0</v>
      </c>
      <c r="BE14" s="18">
        <v>3.0</v>
      </c>
      <c r="BF14" s="18">
        <v>3.0</v>
      </c>
      <c r="BG14" s="18">
        <v>3.0</v>
      </c>
      <c r="BH14" s="18">
        <v>3.0</v>
      </c>
      <c r="BI14" s="18">
        <v>3.0</v>
      </c>
      <c r="BJ14" s="18">
        <v>3.0</v>
      </c>
      <c r="BK14" s="18">
        <v>3.0</v>
      </c>
      <c r="BL14" s="18">
        <v>3.0</v>
      </c>
      <c r="BM14" s="18">
        <v>3.0</v>
      </c>
      <c r="BN14" s="18">
        <v>3.0</v>
      </c>
      <c r="BO14" s="18">
        <v>3.0</v>
      </c>
      <c r="BP14" s="18">
        <v>3.0</v>
      </c>
      <c r="BQ14" s="18">
        <v>3.0</v>
      </c>
      <c r="BR14" s="18">
        <v>3.0</v>
      </c>
      <c r="BS14" s="18">
        <v>3.0</v>
      </c>
      <c r="BT14" s="18">
        <v>3.0</v>
      </c>
      <c r="BU14" s="18">
        <v>3.0</v>
      </c>
      <c r="BV14" s="18">
        <v>3.0</v>
      </c>
      <c r="BW14" s="18">
        <v>3.0</v>
      </c>
      <c r="BX14" s="18">
        <v>3.0</v>
      </c>
      <c r="BY14" s="18">
        <v>3.0</v>
      </c>
      <c r="BZ14" s="18">
        <v>3.0</v>
      </c>
      <c r="CA14" s="18">
        <v>3.0</v>
      </c>
      <c r="CB14" s="18">
        <v>3.0</v>
      </c>
      <c r="CC14" s="18">
        <v>3.0</v>
      </c>
      <c r="CD14" s="18">
        <v>3.0</v>
      </c>
      <c r="CE14" s="18">
        <v>3.0</v>
      </c>
      <c r="CF14" s="18">
        <v>3.0</v>
      </c>
      <c r="CG14" s="18">
        <v>3.0</v>
      </c>
      <c r="CH14" s="18">
        <v>3.0</v>
      </c>
      <c r="CI14" s="18">
        <v>3.0</v>
      </c>
      <c r="CJ14" s="18">
        <v>3.0</v>
      </c>
      <c r="CK14" s="18">
        <v>3.0</v>
      </c>
      <c r="CL14" s="18">
        <v>3.0</v>
      </c>
      <c r="CM14" s="18">
        <v>3.0</v>
      </c>
      <c r="CN14" s="18">
        <v>3.0</v>
      </c>
      <c r="CO14" s="18">
        <v>3.0</v>
      </c>
      <c r="CP14" s="18">
        <v>3.0</v>
      </c>
      <c r="CQ14" s="18">
        <v>3.0</v>
      </c>
      <c r="CR14" s="18">
        <v>3.0</v>
      </c>
      <c r="CS14" s="18">
        <v>3.0</v>
      </c>
      <c r="CT14" s="18">
        <v>3.0</v>
      </c>
      <c r="CU14" s="18">
        <v>3.0</v>
      </c>
      <c r="CV14" s="18">
        <v>3.0</v>
      </c>
      <c r="CW14" s="18">
        <v>2.0</v>
      </c>
      <c r="CX14" s="18">
        <v>3.0</v>
      </c>
      <c r="CY14" s="18">
        <v>3.0</v>
      </c>
      <c r="CZ14" s="18">
        <v>2.0</v>
      </c>
      <c r="DA14" s="18">
        <v>2.0</v>
      </c>
      <c r="DB14" s="18">
        <v>3.0</v>
      </c>
      <c r="DC14" s="18">
        <v>3.0</v>
      </c>
      <c r="DD14" s="18">
        <v>3.0</v>
      </c>
      <c r="DE14" s="18">
        <v>1.0</v>
      </c>
      <c r="DF14" s="18">
        <v>1.0</v>
      </c>
      <c r="DG14" s="18">
        <v>1.0</v>
      </c>
      <c r="DH14" s="18">
        <v>1.0</v>
      </c>
      <c r="DI14" s="18">
        <v>1.0</v>
      </c>
      <c r="DJ14" s="18">
        <v>1.0</v>
      </c>
      <c r="DK14" s="18">
        <v>1.0</v>
      </c>
      <c r="DL14" s="18">
        <v>1.0</v>
      </c>
      <c r="DM14" s="18">
        <v>2.0</v>
      </c>
      <c r="DN14" s="18">
        <v>0.0</v>
      </c>
      <c r="DO14" s="18">
        <v>1.0</v>
      </c>
      <c r="DP14" s="18">
        <v>1.0</v>
      </c>
      <c r="DQ14" s="18">
        <v>0.0</v>
      </c>
      <c r="DR14" s="18">
        <v>3.0</v>
      </c>
      <c r="DS14" s="18">
        <v>3.0</v>
      </c>
      <c r="DT14" s="18">
        <v>3.0</v>
      </c>
      <c r="DU14" s="18">
        <v>3.0</v>
      </c>
      <c r="DV14" s="18">
        <v>3.0</v>
      </c>
      <c r="DW14" s="18">
        <v>3.0</v>
      </c>
      <c r="DX14" s="18">
        <v>3.0</v>
      </c>
      <c r="DY14" s="18">
        <v>3.0</v>
      </c>
      <c r="DZ14" s="18">
        <v>3.0</v>
      </c>
      <c r="EA14" s="18">
        <v>3.0</v>
      </c>
      <c r="EB14" s="18">
        <v>3.0</v>
      </c>
      <c r="EC14" s="18">
        <v>3.0</v>
      </c>
      <c r="ED14" s="18">
        <v>3.0</v>
      </c>
      <c r="EE14" s="18">
        <v>3.0</v>
      </c>
      <c r="EF14" s="18">
        <v>3.0</v>
      </c>
      <c r="EG14" s="18">
        <v>3.0</v>
      </c>
      <c r="EH14" s="18">
        <v>3.0</v>
      </c>
      <c r="EI14" s="18">
        <v>3.0</v>
      </c>
      <c r="EJ14" s="18">
        <v>3.0</v>
      </c>
      <c r="EK14" s="18">
        <v>2.0</v>
      </c>
      <c r="EL14" s="18">
        <v>3.0</v>
      </c>
      <c r="EM14" s="18">
        <v>3.0</v>
      </c>
      <c r="EN14" s="18">
        <v>2.0</v>
      </c>
      <c r="EO14" s="18">
        <v>3.0</v>
      </c>
    </row>
    <row r="15" ht="21.75" customHeight="1">
      <c r="A15" s="17" t="s">
        <v>209</v>
      </c>
      <c r="B15" s="17" t="s">
        <v>210</v>
      </c>
      <c r="C15" s="17" t="s">
        <v>203</v>
      </c>
      <c r="D15" s="17" t="s">
        <v>21</v>
      </c>
      <c r="E15" s="17" t="s">
        <v>197</v>
      </c>
      <c r="F15" s="18">
        <v>3.0</v>
      </c>
      <c r="G15" s="18">
        <v>3.0</v>
      </c>
      <c r="H15" s="18">
        <v>3.0</v>
      </c>
      <c r="I15" s="18">
        <v>3.0</v>
      </c>
      <c r="J15" s="18">
        <v>3.0</v>
      </c>
      <c r="K15" s="18">
        <v>3.0</v>
      </c>
      <c r="L15" s="18">
        <v>3.0</v>
      </c>
      <c r="M15" s="18">
        <v>3.0</v>
      </c>
      <c r="N15" s="18">
        <v>3.0</v>
      </c>
      <c r="O15" s="18">
        <v>3.0</v>
      </c>
      <c r="P15" s="18">
        <v>3.0</v>
      </c>
      <c r="Q15" s="18">
        <v>3.0</v>
      </c>
      <c r="R15" s="18">
        <v>3.0</v>
      </c>
      <c r="S15" s="18">
        <v>3.0</v>
      </c>
      <c r="T15" s="18">
        <v>3.0</v>
      </c>
      <c r="U15" s="18">
        <v>3.0</v>
      </c>
      <c r="V15" s="18">
        <v>3.0</v>
      </c>
      <c r="W15" s="18">
        <v>3.0</v>
      </c>
      <c r="X15" s="18">
        <v>3.0</v>
      </c>
      <c r="Y15" s="18">
        <v>3.0</v>
      </c>
      <c r="Z15" s="18">
        <v>3.0</v>
      </c>
      <c r="AA15" s="18">
        <v>3.0</v>
      </c>
      <c r="AB15" s="18">
        <v>2.0</v>
      </c>
      <c r="AC15" s="18">
        <v>3.0</v>
      </c>
      <c r="AD15" s="18">
        <v>3.0</v>
      </c>
      <c r="AE15" s="18">
        <v>3.0</v>
      </c>
      <c r="AF15" s="18">
        <v>3.0</v>
      </c>
      <c r="AG15" s="18">
        <v>3.0</v>
      </c>
      <c r="AH15" s="18">
        <v>3.0</v>
      </c>
      <c r="AI15" s="18">
        <v>2.0</v>
      </c>
      <c r="AJ15" s="18">
        <v>2.0</v>
      </c>
      <c r="AK15" s="18">
        <v>2.0</v>
      </c>
      <c r="AL15" s="18">
        <v>2.0</v>
      </c>
      <c r="AM15" s="18">
        <v>2.0</v>
      </c>
      <c r="AN15" s="18">
        <v>1.0</v>
      </c>
      <c r="AO15" s="18">
        <v>1.0</v>
      </c>
      <c r="AP15" s="18">
        <v>1.0</v>
      </c>
      <c r="AQ15" s="18">
        <v>2.0</v>
      </c>
      <c r="AR15" s="18">
        <v>2.0</v>
      </c>
      <c r="AS15" s="18">
        <v>2.0</v>
      </c>
      <c r="AT15" s="18">
        <v>2.0</v>
      </c>
      <c r="AU15" s="18">
        <v>2.0</v>
      </c>
      <c r="AV15" s="18">
        <v>2.0</v>
      </c>
      <c r="AW15" s="18">
        <v>1.0</v>
      </c>
      <c r="AX15" s="18">
        <v>3.0</v>
      </c>
      <c r="AY15" s="18">
        <v>3.0</v>
      </c>
      <c r="AZ15" s="18">
        <v>3.0</v>
      </c>
      <c r="BA15" s="18">
        <v>3.0</v>
      </c>
      <c r="BB15" s="18">
        <v>3.0</v>
      </c>
      <c r="BC15" s="18">
        <v>3.0</v>
      </c>
      <c r="BD15" s="18">
        <v>3.0</v>
      </c>
      <c r="BE15" s="18">
        <v>3.0</v>
      </c>
      <c r="BF15" s="18">
        <v>3.0</v>
      </c>
      <c r="BG15" s="18">
        <v>3.0</v>
      </c>
      <c r="BH15" s="18">
        <v>3.0</v>
      </c>
      <c r="BI15" s="18">
        <v>3.0</v>
      </c>
      <c r="BJ15" s="18">
        <v>3.0</v>
      </c>
      <c r="BK15" s="18">
        <v>3.0</v>
      </c>
      <c r="BL15" s="18">
        <v>3.0</v>
      </c>
      <c r="BM15" s="18">
        <v>2.0</v>
      </c>
      <c r="BN15" s="18">
        <v>2.0</v>
      </c>
      <c r="BO15" s="18">
        <v>2.0</v>
      </c>
      <c r="BP15" s="18">
        <v>2.0</v>
      </c>
      <c r="BQ15" s="18">
        <v>2.0</v>
      </c>
      <c r="BR15" s="18">
        <v>1.0</v>
      </c>
      <c r="BS15" s="18">
        <v>2.0</v>
      </c>
      <c r="BT15" s="18">
        <v>2.0</v>
      </c>
      <c r="BU15" s="18">
        <v>2.0</v>
      </c>
      <c r="BV15" s="18">
        <v>2.0</v>
      </c>
      <c r="BW15" s="18">
        <v>2.0</v>
      </c>
      <c r="BX15" s="18">
        <v>2.0</v>
      </c>
      <c r="BY15" s="18">
        <v>2.0</v>
      </c>
      <c r="BZ15" s="18">
        <v>2.0</v>
      </c>
      <c r="CA15" s="18">
        <v>3.0</v>
      </c>
      <c r="CB15" s="18">
        <v>3.0</v>
      </c>
      <c r="CC15" s="18">
        <v>3.0</v>
      </c>
      <c r="CD15" s="18">
        <v>3.0</v>
      </c>
      <c r="CE15" s="18">
        <v>3.0</v>
      </c>
      <c r="CF15" s="18">
        <v>3.0</v>
      </c>
      <c r="CG15" s="18">
        <v>3.0</v>
      </c>
      <c r="CH15" s="18">
        <v>3.0</v>
      </c>
      <c r="CI15" s="18">
        <v>3.0</v>
      </c>
      <c r="CJ15" s="18">
        <v>3.0</v>
      </c>
      <c r="CK15" s="18">
        <v>3.0</v>
      </c>
      <c r="CL15" s="18">
        <v>3.0</v>
      </c>
      <c r="CM15" s="18">
        <v>3.0</v>
      </c>
      <c r="CN15" s="18">
        <v>3.0</v>
      </c>
      <c r="CO15" s="18">
        <v>3.0</v>
      </c>
      <c r="CP15" s="18">
        <v>3.0</v>
      </c>
      <c r="CQ15" s="18">
        <v>3.0</v>
      </c>
      <c r="CR15" s="18">
        <v>3.0</v>
      </c>
      <c r="CS15" s="18">
        <v>3.0</v>
      </c>
      <c r="CT15" s="18">
        <v>3.0</v>
      </c>
      <c r="CU15" s="18">
        <v>3.0</v>
      </c>
      <c r="CV15" s="18">
        <v>3.0</v>
      </c>
      <c r="CW15" s="18">
        <v>2.0</v>
      </c>
      <c r="CX15" s="18">
        <v>3.0</v>
      </c>
      <c r="CY15" s="18">
        <v>3.0</v>
      </c>
      <c r="CZ15" s="18">
        <v>2.0</v>
      </c>
      <c r="DA15" s="18">
        <v>2.0</v>
      </c>
      <c r="DB15" s="18">
        <v>3.0</v>
      </c>
      <c r="DC15" s="18">
        <v>3.0</v>
      </c>
      <c r="DD15" s="18">
        <v>3.0</v>
      </c>
      <c r="DE15" s="18">
        <v>1.0</v>
      </c>
      <c r="DF15" s="18">
        <v>1.0</v>
      </c>
      <c r="DG15" s="18">
        <v>1.0</v>
      </c>
      <c r="DH15" s="18">
        <v>1.0</v>
      </c>
      <c r="DI15" s="18">
        <v>1.0</v>
      </c>
      <c r="DJ15" s="18">
        <v>1.0</v>
      </c>
      <c r="DK15" s="18">
        <v>1.0</v>
      </c>
      <c r="DL15" s="18">
        <v>1.0</v>
      </c>
      <c r="DM15" s="18">
        <v>2.0</v>
      </c>
      <c r="DN15" s="18">
        <v>0.0</v>
      </c>
      <c r="DO15" s="18">
        <v>1.0</v>
      </c>
      <c r="DP15" s="18">
        <v>1.0</v>
      </c>
      <c r="DQ15" s="18">
        <v>0.0</v>
      </c>
      <c r="DR15" s="18">
        <v>3.0</v>
      </c>
      <c r="DS15" s="18">
        <v>3.0</v>
      </c>
      <c r="DT15" s="18">
        <v>3.0</v>
      </c>
      <c r="DU15" s="18">
        <v>3.0</v>
      </c>
      <c r="DV15" s="18">
        <v>3.0</v>
      </c>
      <c r="DW15" s="18">
        <v>3.0</v>
      </c>
      <c r="DX15" s="18">
        <v>3.0</v>
      </c>
      <c r="DY15" s="18">
        <v>3.0</v>
      </c>
      <c r="DZ15" s="18">
        <v>3.0</v>
      </c>
      <c r="EA15" s="18">
        <v>3.0</v>
      </c>
      <c r="EB15" s="18">
        <v>3.0</v>
      </c>
      <c r="EC15" s="18">
        <v>2.0</v>
      </c>
      <c r="ED15" s="18">
        <v>2.0</v>
      </c>
      <c r="EE15" s="18">
        <v>2.0</v>
      </c>
      <c r="EF15" s="18">
        <v>2.0</v>
      </c>
      <c r="EG15" s="18">
        <v>2.0</v>
      </c>
      <c r="EH15" s="18">
        <v>2.0</v>
      </c>
      <c r="EI15" s="18">
        <v>2.0</v>
      </c>
      <c r="EJ15" s="18">
        <v>2.0</v>
      </c>
      <c r="EK15" s="18">
        <v>1.0</v>
      </c>
      <c r="EL15" s="18">
        <v>2.0</v>
      </c>
      <c r="EM15" s="18">
        <v>2.0</v>
      </c>
      <c r="EN15" s="18">
        <v>1.0</v>
      </c>
      <c r="EO15" s="18">
        <v>2.0</v>
      </c>
    </row>
    <row r="16" ht="21.75" customHeight="1">
      <c r="A16" s="17" t="s">
        <v>211</v>
      </c>
      <c r="B16" s="17" t="s">
        <v>212</v>
      </c>
      <c r="C16" s="17" t="s">
        <v>203</v>
      </c>
      <c r="D16" s="17" t="s">
        <v>21</v>
      </c>
      <c r="E16" s="17" t="s">
        <v>197</v>
      </c>
      <c r="F16" s="18">
        <v>3.0</v>
      </c>
      <c r="G16" s="18">
        <v>3.0</v>
      </c>
      <c r="H16" s="18">
        <v>3.0</v>
      </c>
      <c r="I16" s="18">
        <v>3.0</v>
      </c>
      <c r="J16" s="18">
        <v>3.0</v>
      </c>
      <c r="K16" s="18">
        <v>3.0</v>
      </c>
      <c r="L16" s="18">
        <v>3.0</v>
      </c>
      <c r="M16" s="18">
        <v>3.0</v>
      </c>
      <c r="N16" s="18">
        <v>3.0</v>
      </c>
      <c r="O16" s="18">
        <v>3.0</v>
      </c>
      <c r="P16" s="18">
        <v>3.0</v>
      </c>
      <c r="Q16" s="18">
        <v>3.0</v>
      </c>
      <c r="R16" s="18">
        <v>3.0</v>
      </c>
      <c r="S16" s="18">
        <v>3.0</v>
      </c>
      <c r="T16" s="18">
        <v>2.0</v>
      </c>
      <c r="U16" s="18">
        <v>2.0</v>
      </c>
      <c r="V16" s="18">
        <v>2.0</v>
      </c>
      <c r="W16" s="18">
        <v>2.0</v>
      </c>
      <c r="X16" s="18">
        <v>1.0</v>
      </c>
      <c r="Y16" s="18">
        <v>2.0</v>
      </c>
      <c r="Z16" s="18">
        <v>2.0</v>
      </c>
      <c r="AA16" s="18">
        <v>2.0</v>
      </c>
      <c r="AB16" s="18">
        <v>0.0</v>
      </c>
      <c r="AC16" s="18">
        <v>2.0</v>
      </c>
      <c r="AD16" s="18">
        <v>2.0</v>
      </c>
      <c r="AE16" s="18">
        <v>2.0</v>
      </c>
      <c r="AF16" s="18">
        <v>2.0</v>
      </c>
      <c r="AG16" s="18">
        <v>2.0</v>
      </c>
      <c r="AH16" s="18">
        <v>2.0</v>
      </c>
      <c r="AI16" s="18">
        <v>1.0</v>
      </c>
      <c r="AJ16" s="18">
        <v>1.0</v>
      </c>
      <c r="AK16" s="18">
        <v>1.0</v>
      </c>
      <c r="AL16" s="18">
        <v>1.0</v>
      </c>
      <c r="AM16" s="18">
        <v>1.0</v>
      </c>
      <c r="AN16" s="18">
        <v>1.0</v>
      </c>
      <c r="AO16" s="18">
        <v>1.0</v>
      </c>
      <c r="AP16" s="18">
        <v>1.0</v>
      </c>
      <c r="AQ16" s="18">
        <v>1.0</v>
      </c>
      <c r="AR16" s="18">
        <v>0.0</v>
      </c>
      <c r="AS16" s="18">
        <v>1.0</v>
      </c>
      <c r="AT16" s="18">
        <v>1.0</v>
      </c>
      <c r="AU16" s="18">
        <v>1.0</v>
      </c>
      <c r="AV16" s="18">
        <v>1.0</v>
      </c>
      <c r="AW16" s="18">
        <v>0.0</v>
      </c>
      <c r="AX16" s="18">
        <v>3.0</v>
      </c>
      <c r="AY16" s="18">
        <v>3.0</v>
      </c>
      <c r="AZ16" s="18">
        <v>3.0</v>
      </c>
      <c r="BA16" s="18">
        <v>3.0</v>
      </c>
      <c r="BB16" s="18">
        <v>3.0</v>
      </c>
      <c r="BC16" s="18">
        <v>3.0</v>
      </c>
      <c r="BD16" s="18">
        <v>3.0</v>
      </c>
      <c r="BE16" s="18">
        <v>3.0</v>
      </c>
      <c r="BF16" s="18">
        <v>3.0</v>
      </c>
      <c r="BG16" s="18">
        <v>3.0</v>
      </c>
      <c r="BH16" s="18">
        <v>3.0</v>
      </c>
      <c r="BI16" s="18">
        <v>3.0</v>
      </c>
      <c r="BJ16" s="18">
        <v>3.0</v>
      </c>
      <c r="BK16" s="18">
        <v>3.0</v>
      </c>
      <c r="BL16" s="18">
        <v>3.0</v>
      </c>
      <c r="BM16" s="18">
        <v>2.0</v>
      </c>
      <c r="BN16" s="18">
        <v>2.0</v>
      </c>
      <c r="BO16" s="18">
        <v>2.0</v>
      </c>
      <c r="BP16" s="18">
        <v>2.0</v>
      </c>
      <c r="BQ16" s="18">
        <v>2.0</v>
      </c>
      <c r="BR16" s="18">
        <v>2.0</v>
      </c>
      <c r="BS16" s="18">
        <v>2.0</v>
      </c>
      <c r="BT16" s="18">
        <v>2.0</v>
      </c>
      <c r="BU16" s="18">
        <v>2.0</v>
      </c>
      <c r="BV16" s="18">
        <v>2.0</v>
      </c>
      <c r="BW16" s="18">
        <v>2.0</v>
      </c>
      <c r="BX16" s="18">
        <v>2.0</v>
      </c>
      <c r="BY16" s="18">
        <v>2.0</v>
      </c>
      <c r="BZ16" s="18">
        <v>2.0</v>
      </c>
      <c r="CA16" s="18">
        <v>2.0</v>
      </c>
      <c r="CB16" s="18">
        <v>2.0</v>
      </c>
      <c r="CC16" s="18">
        <v>2.0</v>
      </c>
      <c r="CD16" s="18">
        <v>1.0</v>
      </c>
      <c r="CE16" s="18">
        <v>2.0</v>
      </c>
      <c r="CF16" s="18">
        <v>2.0</v>
      </c>
      <c r="CG16" s="18">
        <v>2.0</v>
      </c>
      <c r="CH16" s="18">
        <v>2.0</v>
      </c>
      <c r="CI16" s="18">
        <v>2.0</v>
      </c>
      <c r="CJ16" s="18">
        <v>2.0</v>
      </c>
      <c r="CK16" s="18">
        <v>2.0</v>
      </c>
      <c r="CL16" s="18">
        <v>2.0</v>
      </c>
      <c r="CM16" s="18">
        <v>2.0</v>
      </c>
      <c r="CN16" s="18">
        <v>2.0</v>
      </c>
      <c r="CO16" s="18">
        <v>3.0</v>
      </c>
      <c r="CP16" s="18">
        <v>3.0</v>
      </c>
      <c r="CQ16" s="18">
        <v>3.0</v>
      </c>
      <c r="CR16" s="18">
        <v>3.0</v>
      </c>
      <c r="CS16" s="18">
        <v>3.0</v>
      </c>
      <c r="CT16" s="18">
        <v>3.0</v>
      </c>
      <c r="CU16" s="18">
        <v>3.0</v>
      </c>
      <c r="CV16" s="18">
        <v>3.0</v>
      </c>
      <c r="CW16" s="18">
        <v>2.0</v>
      </c>
      <c r="CX16" s="18">
        <v>3.0</v>
      </c>
      <c r="CY16" s="18">
        <v>3.0</v>
      </c>
      <c r="CZ16" s="18">
        <v>2.0</v>
      </c>
      <c r="DA16" s="18">
        <v>2.0</v>
      </c>
      <c r="DB16" s="18">
        <v>3.0</v>
      </c>
      <c r="DC16" s="18">
        <v>3.0</v>
      </c>
      <c r="DD16" s="18">
        <v>3.0</v>
      </c>
      <c r="DE16" s="18">
        <v>1.0</v>
      </c>
      <c r="DF16" s="18">
        <v>1.0</v>
      </c>
      <c r="DG16" s="18">
        <v>1.0</v>
      </c>
      <c r="DH16" s="18">
        <v>1.0</v>
      </c>
      <c r="DI16" s="18">
        <v>1.0</v>
      </c>
      <c r="DJ16" s="18">
        <v>1.0</v>
      </c>
      <c r="DK16" s="18">
        <v>1.0</v>
      </c>
      <c r="DL16" s="18">
        <v>1.0</v>
      </c>
      <c r="DM16" s="18">
        <v>2.0</v>
      </c>
      <c r="DN16" s="18">
        <v>0.0</v>
      </c>
      <c r="DO16" s="18">
        <v>1.0</v>
      </c>
      <c r="DP16" s="18">
        <v>1.0</v>
      </c>
      <c r="DQ16" s="18">
        <v>1.0</v>
      </c>
      <c r="DR16" s="18">
        <v>3.0</v>
      </c>
      <c r="DS16" s="18">
        <v>3.0</v>
      </c>
      <c r="DT16" s="18">
        <v>3.0</v>
      </c>
      <c r="DU16" s="18">
        <v>3.0</v>
      </c>
      <c r="DV16" s="18">
        <v>3.0</v>
      </c>
      <c r="DW16" s="18">
        <v>3.0</v>
      </c>
      <c r="DX16" s="18">
        <v>3.0</v>
      </c>
      <c r="DY16" s="18">
        <v>3.0</v>
      </c>
      <c r="DZ16" s="18">
        <v>3.0</v>
      </c>
      <c r="EA16" s="18">
        <v>3.0</v>
      </c>
      <c r="EB16" s="18">
        <v>3.0</v>
      </c>
      <c r="EC16" s="18">
        <v>3.0</v>
      </c>
      <c r="ED16" s="18">
        <v>3.0</v>
      </c>
      <c r="EE16" s="18">
        <v>3.0</v>
      </c>
      <c r="EF16" s="18">
        <v>3.0</v>
      </c>
      <c r="EG16" s="18">
        <v>3.0</v>
      </c>
      <c r="EH16" s="18">
        <v>3.0</v>
      </c>
      <c r="EI16" s="18">
        <v>3.0</v>
      </c>
      <c r="EJ16" s="18">
        <v>3.0</v>
      </c>
      <c r="EK16" s="18">
        <v>2.0</v>
      </c>
      <c r="EL16" s="18">
        <v>3.0</v>
      </c>
      <c r="EM16" s="18">
        <v>3.0</v>
      </c>
      <c r="EN16" s="18">
        <v>2.0</v>
      </c>
      <c r="EO16" s="18">
        <v>3.0</v>
      </c>
    </row>
    <row r="17" ht="21.75" customHeight="1">
      <c r="A17" s="17" t="s">
        <v>213</v>
      </c>
      <c r="B17" s="17" t="s">
        <v>214</v>
      </c>
      <c r="C17" s="17" t="s">
        <v>203</v>
      </c>
      <c r="D17" s="17" t="s">
        <v>21</v>
      </c>
      <c r="E17" s="17" t="s">
        <v>197</v>
      </c>
      <c r="F17" s="18">
        <v>3.0</v>
      </c>
      <c r="G17" s="18">
        <v>2.0</v>
      </c>
      <c r="H17" s="18">
        <v>2.0</v>
      </c>
      <c r="I17" s="18">
        <v>2.0</v>
      </c>
      <c r="J17" s="18">
        <v>2.0</v>
      </c>
      <c r="K17" s="18">
        <v>2.0</v>
      </c>
      <c r="L17" s="18">
        <v>2.0</v>
      </c>
      <c r="M17" s="18">
        <v>2.0</v>
      </c>
      <c r="N17" s="18">
        <v>2.0</v>
      </c>
      <c r="O17" s="18">
        <v>3.0</v>
      </c>
      <c r="P17" s="18">
        <v>3.0</v>
      </c>
      <c r="Q17" s="18">
        <v>3.0</v>
      </c>
      <c r="R17" s="18">
        <v>3.0</v>
      </c>
      <c r="S17" s="18">
        <v>2.0</v>
      </c>
      <c r="T17" s="18">
        <v>2.0</v>
      </c>
      <c r="U17" s="18">
        <v>2.0</v>
      </c>
      <c r="V17" s="18">
        <v>2.0</v>
      </c>
      <c r="W17" s="18">
        <v>2.0</v>
      </c>
      <c r="X17" s="18">
        <v>1.0</v>
      </c>
      <c r="Y17" s="18">
        <v>2.0</v>
      </c>
      <c r="Z17" s="18">
        <v>2.0</v>
      </c>
      <c r="AA17" s="18">
        <v>2.0</v>
      </c>
      <c r="AB17" s="18">
        <v>0.0</v>
      </c>
      <c r="AC17" s="18">
        <v>2.0</v>
      </c>
      <c r="AD17" s="18">
        <v>2.0</v>
      </c>
      <c r="AE17" s="18">
        <v>2.0</v>
      </c>
      <c r="AF17" s="18">
        <v>2.0</v>
      </c>
      <c r="AG17" s="18">
        <v>2.0</v>
      </c>
      <c r="AH17" s="18">
        <v>2.0</v>
      </c>
      <c r="AI17" s="18">
        <v>1.0</v>
      </c>
      <c r="AJ17" s="18">
        <v>1.0</v>
      </c>
      <c r="AK17" s="18">
        <v>1.0</v>
      </c>
      <c r="AL17" s="18">
        <v>1.0</v>
      </c>
      <c r="AM17" s="18">
        <v>1.0</v>
      </c>
      <c r="AN17" s="18">
        <v>1.0</v>
      </c>
      <c r="AO17" s="18">
        <v>1.0</v>
      </c>
      <c r="AP17" s="18">
        <v>0.0</v>
      </c>
      <c r="AQ17" s="18">
        <v>0.0</v>
      </c>
      <c r="AR17" s="18">
        <v>1.0</v>
      </c>
      <c r="AS17" s="18">
        <v>1.0</v>
      </c>
      <c r="AT17" s="18">
        <v>1.0</v>
      </c>
      <c r="AU17" s="18">
        <v>1.0</v>
      </c>
      <c r="AV17" s="18">
        <v>1.0</v>
      </c>
      <c r="AW17" s="18">
        <v>0.0</v>
      </c>
      <c r="AX17" s="18">
        <v>2.0</v>
      </c>
      <c r="AY17" s="18">
        <v>2.0</v>
      </c>
      <c r="AZ17" s="18">
        <v>2.0</v>
      </c>
      <c r="BA17" s="18">
        <v>2.0</v>
      </c>
      <c r="BB17" s="18">
        <v>2.0</v>
      </c>
      <c r="BC17" s="18">
        <v>2.0</v>
      </c>
      <c r="BD17" s="18">
        <v>2.0</v>
      </c>
      <c r="BE17" s="18">
        <v>2.0</v>
      </c>
      <c r="BF17" s="18">
        <v>2.0</v>
      </c>
      <c r="BG17" s="18">
        <v>2.0</v>
      </c>
      <c r="BH17" s="18">
        <v>2.0</v>
      </c>
      <c r="BI17" s="18">
        <v>2.0</v>
      </c>
      <c r="BJ17" s="18">
        <v>2.0</v>
      </c>
      <c r="BK17" s="18">
        <v>2.0</v>
      </c>
      <c r="BL17" s="18">
        <v>2.0</v>
      </c>
      <c r="BM17" s="18">
        <v>3.0</v>
      </c>
      <c r="BN17" s="18">
        <v>3.0</v>
      </c>
      <c r="BO17" s="18">
        <v>3.0</v>
      </c>
      <c r="BP17" s="18">
        <v>3.0</v>
      </c>
      <c r="BQ17" s="18">
        <v>3.0</v>
      </c>
      <c r="BR17" s="18">
        <v>3.0</v>
      </c>
      <c r="BS17" s="18">
        <v>3.0</v>
      </c>
      <c r="BT17" s="18">
        <v>3.0</v>
      </c>
      <c r="BU17" s="18">
        <v>3.0</v>
      </c>
      <c r="BV17" s="18">
        <v>3.0</v>
      </c>
      <c r="BW17" s="18">
        <v>3.0</v>
      </c>
      <c r="BX17" s="18">
        <v>3.0</v>
      </c>
      <c r="BY17" s="18">
        <v>3.0</v>
      </c>
      <c r="BZ17" s="18">
        <v>3.0</v>
      </c>
      <c r="CA17" s="18">
        <v>1.0</v>
      </c>
      <c r="CB17" s="18">
        <v>1.0</v>
      </c>
      <c r="CC17" s="18">
        <v>1.0</v>
      </c>
      <c r="CD17" s="18">
        <v>0.0</v>
      </c>
      <c r="CE17" s="18">
        <v>1.0</v>
      </c>
      <c r="CF17" s="18">
        <v>1.0</v>
      </c>
      <c r="CG17" s="18">
        <v>1.0</v>
      </c>
      <c r="CH17" s="18">
        <v>1.0</v>
      </c>
      <c r="CI17" s="18">
        <v>1.0</v>
      </c>
      <c r="CJ17" s="18">
        <v>1.0</v>
      </c>
      <c r="CK17" s="18">
        <v>1.0</v>
      </c>
      <c r="CL17" s="18">
        <v>1.0</v>
      </c>
      <c r="CM17" s="18">
        <v>1.0</v>
      </c>
      <c r="CN17" s="18">
        <v>1.0</v>
      </c>
      <c r="CO17" s="18">
        <v>2.0</v>
      </c>
      <c r="CP17" s="18">
        <v>2.0</v>
      </c>
      <c r="CQ17" s="18">
        <v>2.0</v>
      </c>
      <c r="CR17" s="18">
        <v>2.0</v>
      </c>
      <c r="CS17" s="18">
        <v>2.0</v>
      </c>
      <c r="CT17" s="18">
        <v>2.0</v>
      </c>
      <c r="CU17" s="18">
        <v>2.0</v>
      </c>
      <c r="CV17" s="18">
        <v>2.0</v>
      </c>
      <c r="CW17" s="18">
        <v>1.0</v>
      </c>
      <c r="CX17" s="18">
        <v>2.0</v>
      </c>
      <c r="CY17" s="18">
        <v>2.0</v>
      </c>
      <c r="CZ17" s="18">
        <v>1.0</v>
      </c>
      <c r="DA17" s="18">
        <v>1.0</v>
      </c>
      <c r="DB17" s="18">
        <v>2.0</v>
      </c>
      <c r="DC17" s="18">
        <v>2.0</v>
      </c>
      <c r="DD17" s="18">
        <v>2.0</v>
      </c>
      <c r="DE17" s="18">
        <v>1.0</v>
      </c>
      <c r="DF17" s="18">
        <v>1.0</v>
      </c>
      <c r="DG17" s="18">
        <v>1.0</v>
      </c>
      <c r="DH17" s="18">
        <v>1.0</v>
      </c>
      <c r="DI17" s="18">
        <v>1.0</v>
      </c>
      <c r="DJ17" s="18">
        <v>1.0</v>
      </c>
      <c r="DK17" s="18">
        <v>1.0</v>
      </c>
      <c r="DL17" s="18">
        <v>1.0</v>
      </c>
      <c r="DM17" s="18">
        <v>2.0</v>
      </c>
      <c r="DN17" s="18">
        <v>0.0</v>
      </c>
      <c r="DO17" s="18">
        <v>1.0</v>
      </c>
      <c r="DP17" s="18">
        <v>1.0</v>
      </c>
      <c r="DQ17" s="18">
        <v>1.0</v>
      </c>
      <c r="DR17" s="18">
        <v>3.0</v>
      </c>
      <c r="DS17" s="18">
        <v>2.0</v>
      </c>
      <c r="DT17" s="18">
        <v>3.0</v>
      </c>
      <c r="DU17" s="18">
        <v>2.0</v>
      </c>
      <c r="DV17" s="18">
        <v>2.0</v>
      </c>
      <c r="DW17" s="18">
        <v>2.0</v>
      </c>
      <c r="DX17" s="18">
        <v>2.0</v>
      </c>
      <c r="DY17" s="18">
        <v>2.0</v>
      </c>
      <c r="DZ17" s="18">
        <v>2.0</v>
      </c>
      <c r="EA17" s="18">
        <v>2.0</v>
      </c>
      <c r="EB17" s="18">
        <v>2.0</v>
      </c>
      <c r="EC17" s="18">
        <v>3.0</v>
      </c>
      <c r="ED17" s="18">
        <v>3.0</v>
      </c>
      <c r="EE17" s="18">
        <v>3.0</v>
      </c>
      <c r="EF17" s="18">
        <v>3.0</v>
      </c>
      <c r="EG17" s="18">
        <v>3.0</v>
      </c>
      <c r="EH17" s="18">
        <v>3.0</v>
      </c>
      <c r="EI17" s="18">
        <v>3.0</v>
      </c>
      <c r="EJ17" s="18">
        <v>3.0</v>
      </c>
      <c r="EK17" s="18">
        <v>2.0</v>
      </c>
      <c r="EL17" s="18">
        <v>3.0</v>
      </c>
      <c r="EM17" s="18">
        <v>3.0</v>
      </c>
      <c r="EN17" s="18">
        <v>2.0</v>
      </c>
      <c r="EO17" s="18">
        <v>3.0</v>
      </c>
    </row>
    <row r="18" ht="21.75" customHeight="1">
      <c r="A18" s="17" t="s">
        <v>215</v>
      </c>
      <c r="B18" s="17" t="s">
        <v>216</v>
      </c>
      <c r="C18" s="17" t="s">
        <v>203</v>
      </c>
      <c r="D18" s="17" t="s">
        <v>21</v>
      </c>
      <c r="E18" s="17" t="s">
        <v>206</v>
      </c>
      <c r="F18" s="18">
        <v>3.0</v>
      </c>
      <c r="G18" s="18">
        <v>2.0</v>
      </c>
      <c r="H18" s="18">
        <v>2.0</v>
      </c>
      <c r="I18" s="18">
        <v>2.0</v>
      </c>
      <c r="J18" s="18">
        <v>2.0</v>
      </c>
      <c r="K18" s="18">
        <v>2.0</v>
      </c>
      <c r="L18" s="18">
        <v>2.0</v>
      </c>
      <c r="M18" s="18">
        <v>2.0</v>
      </c>
      <c r="N18" s="18">
        <v>2.0</v>
      </c>
      <c r="O18" s="18">
        <v>3.0</v>
      </c>
      <c r="P18" s="18">
        <v>3.0</v>
      </c>
      <c r="Q18" s="18">
        <v>3.0</v>
      </c>
      <c r="R18" s="18">
        <v>3.0</v>
      </c>
      <c r="S18" s="18">
        <v>2.0</v>
      </c>
      <c r="T18" s="18">
        <v>2.0</v>
      </c>
      <c r="U18" s="18">
        <v>2.0</v>
      </c>
      <c r="V18" s="18">
        <v>2.0</v>
      </c>
      <c r="W18" s="18">
        <v>2.0</v>
      </c>
      <c r="X18" s="18">
        <v>2.0</v>
      </c>
      <c r="Y18" s="18">
        <v>2.0</v>
      </c>
      <c r="Z18" s="18">
        <v>2.0</v>
      </c>
      <c r="AA18" s="18">
        <v>2.0</v>
      </c>
      <c r="AB18" s="18">
        <v>0.0</v>
      </c>
      <c r="AC18" s="18">
        <v>2.0</v>
      </c>
      <c r="AD18" s="18">
        <v>2.0</v>
      </c>
      <c r="AE18" s="18">
        <v>2.0</v>
      </c>
      <c r="AF18" s="18">
        <v>2.0</v>
      </c>
      <c r="AG18" s="18">
        <v>2.0</v>
      </c>
      <c r="AH18" s="18">
        <v>2.0</v>
      </c>
      <c r="AI18" s="18">
        <v>1.0</v>
      </c>
      <c r="AJ18" s="18">
        <v>1.0</v>
      </c>
      <c r="AK18" s="18">
        <v>1.0</v>
      </c>
      <c r="AL18" s="18">
        <v>1.0</v>
      </c>
      <c r="AM18" s="18">
        <v>1.0</v>
      </c>
      <c r="AN18" s="18">
        <v>1.0</v>
      </c>
      <c r="AO18" s="18">
        <v>1.0</v>
      </c>
      <c r="AP18" s="18">
        <v>1.0</v>
      </c>
      <c r="AQ18" s="18">
        <v>0.0</v>
      </c>
      <c r="AR18" s="18">
        <v>0.0</v>
      </c>
      <c r="AS18" s="18">
        <v>1.0</v>
      </c>
      <c r="AT18" s="18">
        <v>1.0</v>
      </c>
      <c r="AU18" s="18">
        <v>1.0</v>
      </c>
      <c r="AV18" s="18">
        <v>1.0</v>
      </c>
      <c r="AW18" s="18">
        <v>0.0</v>
      </c>
      <c r="AX18" s="18">
        <v>3.0</v>
      </c>
      <c r="AY18" s="18">
        <v>3.0</v>
      </c>
      <c r="AZ18" s="18">
        <v>3.0</v>
      </c>
      <c r="BA18" s="18">
        <v>3.0</v>
      </c>
      <c r="BB18" s="18">
        <v>3.0</v>
      </c>
      <c r="BC18" s="18">
        <v>3.0</v>
      </c>
      <c r="BD18" s="18">
        <v>3.0</v>
      </c>
      <c r="BE18" s="18">
        <v>3.0</v>
      </c>
      <c r="BF18" s="18">
        <v>3.0</v>
      </c>
      <c r="BG18" s="18">
        <v>3.0</v>
      </c>
      <c r="BH18" s="18">
        <v>3.0</v>
      </c>
      <c r="BI18" s="18">
        <v>3.0</v>
      </c>
      <c r="BJ18" s="18">
        <v>3.0</v>
      </c>
      <c r="BK18" s="18">
        <v>3.0</v>
      </c>
      <c r="BL18" s="18">
        <v>3.0</v>
      </c>
      <c r="BM18" s="18">
        <v>3.0</v>
      </c>
      <c r="BN18" s="18">
        <v>3.0</v>
      </c>
      <c r="BO18" s="18">
        <v>3.0</v>
      </c>
      <c r="BP18" s="18">
        <v>3.0</v>
      </c>
      <c r="BQ18" s="18">
        <v>3.0</v>
      </c>
      <c r="BR18" s="18">
        <v>3.0</v>
      </c>
      <c r="BS18" s="18">
        <v>3.0</v>
      </c>
      <c r="BT18" s="18">
        <v>3.0</v>
      </c>
      <c r="BU18" s="18">
        <v>3.0</v>
      </c>
      <c r="BV18" s="18">
        <v>3.0</v>
      </c>
      <c r="BW18" s="18">
        <v>3.0</v>
      </c>
      <c r="BX18" s="18">
        <v>3.0</v>
      </c>
      <c r="BY18" s="18">
        <v>3.0</v>
      </c>
      <c r="BZ18" s="18">
        <v>3.0</v>
      </c>
      <c r="CA18" s="18">
        <v>2.0</v>
      </c>
      <c r="CB18" s="18">
        <v>2.0</v>
      </c>
      <c r="CC18" s="18">
        <v>2.0</v>
      </c>
      <c r="CD18" s="18">
        <v>2.0</v>
      </c>
      <c r="CE18" s="18">
        <v>2.0</v>
      </c>
      <c r="CF18" s="18">
        <v>2.0</v>
      </c>
      <c r="CG18" s="18">
        <v>2.0</v>
      </c>
      <c r="CH18" s="18">
        <v>2.0</v>
      </c>
      <c r="CI18" s="18">
        <v>2.0</v>
      </c>
      <c r="CJ18" s="18">
        <v>2.0</v>
      </c>
      <c r="CK18" s="18">
        <v>2.0</v>
      </c>
      <c r="CL18" s="18">
        <v>2.0</v>
      </c>
      <c r="CM18" s="18">
        <v>2.0</v>
      </c>
      <c r="CN18" s="18">
        <v>2.0</v>
      </c>
      <c r="CO18" s="18">
        <v>2.0</v>
      </c>
      <c r="CP18" s="18">
        <v>2.0</v>
      </c>
      <c r="CQ18" s="18">
        <v>2.0</v>
      </c>
      <c r="CR18" s="18">
        <v>2.0</v>
      </c>
      <c r="CS18" s="18">
        <v>2.0</v>
      </c>
      <c r="CT18" s="18">
        <v>2.0</v>
      </c>
      <c r="CU18" s="18">
        <v>2.0</v>
      </c>
      <c r="CV18" s="18">
        <v>2.0</v>
      </c>
      <c r="CW18" s="18">
        <v>1.0</v>
      </c>
      <c r="CX18" s="18">
        <v>2.0</v>
      </c>
      <c r="CY18" s="18">
        <v>2.0</v>
      </c>
      <c r="CZ18" s="18">
        <v>1.0</v>
      </c>
      <c r="DA18" s="18">
        <v>1.0</v>
      </c>
      <c r="DB18" s="18">
        <v>2.0</v>
      </c>
      <c r="DC18" s="18">
        <v>2.0</v>
      </c>
      <c r="DD18" s="18">
        <v>2.0</v>
      </c>
      <c r="DE18" s="18">
        <v>1.0</v>
      </c>
      <c r="DF18" s="18">
        <v>1.0</v>
      </c>
      <c r="DG18" s="18">
        <v>1.0</v>
      </c>
      <c r="DH18" s="18">
        <v>1.0</v>
      </c>
      <c r="DI18" s="18">
        <v>1.0</v>
      </c>
      <c r="DJ18" s="18">
        <v>1.0</v>
      </c>
      <c r="DK18" s="18">
        <v>1.0</v>
      </c>
      <c r="DL18" s="18">
        <v>1.0</v>
      </c>
      <c r="DM18" s="18">
        <v>2.0</v>
      </c>
      <c r="DN18" s="18">
        <v>0.0</v>
      </c>
      <c r="DO18" s="18">
        <v>1.0</v>
      </c>
      <c r="DP18" s="18">
        <v>1.0</v>
      </c>
      <c r="DQ18" s="18">
        <v>1.0</v>
      </c>
      <c r="DR18" s="18">
        <v>3.0</v>
      </c>
      <c r="DS18" s="18">
        <v>3.0</v>
      </c>
      <c r="DT18" s="18">
        <v>3.0</v>
      </c>
      <c r="DU18" s="18">
        <v>3.0</v>
      </c>
      <c r="DV18" s="18">
        <v>3.0</v>
      </c>
      <c r="DW18" s="18">
        <v>3.0</v>
      </c>
      <c r="DX18" s="18">
        <v>3.0</v>
      </c>
      <c r="DY18" s="18">
        <v>3.0</v>
      </c>
      <c r="DZ18" s="18">
        <v>3.0</v>
      </c>
      <c r="EA18" s="18">
        <v>3.0</v>
      </c>
      <c r="EB18" s="18">
        <v>3.0</v>
      </c>
      <c r="EC18" s="18">
        <v>2.0</v>
      </c>
      <c r="ED18" s="18">
        <v>2.0</v>
      </c>
      <c r="EE18" s="18">
        <v>2.0</v>
      </c>
      <c r="EF18" s="18">
        <v>2.0</v>
      </c>
      <c r="EG18" s="18">
        <v>2.0</v>
      </c>
      <c r="EH18" s="18">
        <v>2.0</v>
      </c>
      <c r="EI18" s="18">
        <v>2.0</v>
      </c>
      <c r="EJ18" s="18">
        <v>2.0</v>
      </c>
      <c r="EK18" s="18">
        <v>1.0</v>
      </c>
      <c r="EL18" s="18">
        <v>2.0</v>
      </c>
      <c r="EM18" s="18">
        <v>2.0</v>
      </c>
      <c r="EN18" s="18">
        <v>1.0</v>
      </c>
      <c r="EO18" s="18">
        <v>2.0</v>
      </c>
    </row>
    <row r="19" ht="21.75" customHeight="1">
      <c r="A19" s="17" t="s">
        <v>217</v>
      </c>
      <c r="B19" s="17" t="s">
        <v>218</v>
      </c>
      <c r="C19" s="17" t="s">
        <v>203</v>
      </c>
      <c r="D19" s="17" t="s">
        <v>21</v>
      </c>
      <c r="E19" s="17" t="s">
        <v>206</v>
      </c>
      <c r="F19" s="18">
        <v>3.0</v>
      </c>
      <c r="G19" s="18">
        <v>2.0</v>
      </c>
      <c r="H19" s="18">
        <v>2.0</v>
      </c>
      <c r="I19" s="18">
        <v>2.0</v>
      </c>
      <c r="J19" s="18">
        <v>2.0</v>
      </c>
      <c r="K19" s="18">
        <v>2.0</v>
      </c>
      <c r="L19" s="18">
        <v>2.0</v>
      </c>
      <c r="M19" s="18">
        <v>2.0</v>
      </c>
      <c r="N19" s="18">
        <v>2.0</v>
      </c>
      <c r="O19" s="18">
        <v>3.0</v>
      </c>
      <c r="P19" s="18">
        <v>3.0</v>
      </c>
      <c r="Q19" s="18">
        <v>3.0</v>
      </c>
      <c r="R19" s="18">
        <v>3.0</v>
      </c>
      <c r="S19" s="18">
        <v>2.0</v>
      </c>
      <c r="T19" s="18">
        <v>1.0</v>
      </c>
      <c r="U19" s="18">
        <v>1.0</v>
      </c>
      <c r="V19" s="18">
        <v>1.0</v>
      </c>
      <c r="W19" s="18">
        <v>1.0</v>
      </c>
      <c r="X19" s="18">
        <v>1.0</v>
      </c>
      <c r="Y19" s="18">
        <v>1.0</v>
      </c>
      <c r="Z19" s="18">
        <v>1.0</v>
      </c>
      <c r="AA19" s="18">
        <v>1.0</v>
      </c>
      <c r="AB19" s="18">
        <v>0.0</v>
      </c>
      <c r="AC19" s="18">
        <v>1.0</v>
      </c>
      <c r="AD19" s="18">
        <v>1.0</v>
      </c>
      <c r="AE19" s="18">
        <v>1.0</v>
      </c>
      <c r="AF19" s="18">
        <v>1.0</v>
      </c>
      <c r="AG19" s="18">
        <v>1.0</v>
      </c>
      <c r="AH19" s="18">
        <v>1.0</v>
      </c>
      <c r="AI19" s="18">
        <v>0.0</v>
      </c>
      <c r="AJ19" s="18">
        <v>0.0</v>
      </c>
      <c r="AK19" s="18">
        <v>0.0</v>
      </c>
      <c r="AL19" s="18">
        <v>0.0</v>
      </c>
      <c r="AM19" s="18">
        <v>0.0</v>
      </c>
      <c r="AN19" s="18">
        <v>0.0</v>
      </c>
      <c r="AO19" s="18">
        <v>0.0</v>
      </c>
      <c r="AP19" s="18">
        <v>0.0</v>
      </c>
      <c r="AQ19" s="18">
        <v>0.0</v>
      </c>
      <c r="AR19" s="18">
        <v>0.0</v>
      </c>
      <c r="AS19" s="18">
        <v>0.0</v>
      </c>
      <c r="AT19" s="18">
        <v>0.0</v>
      </c>
      <c r="AU19" s="18">
        <v>0.0</v>
      </c>
      <c r="AV19" s="18">
        <v>0.0</v>
      </c>
      <c r="AW19" s="18">
        <v>0.0</v>
      </c>
      <c r="AX19" s="18">
        <v>1.0</v>
      </c>
      <c r="AY19" s="18">
        <v>1.0</v>
      </c>
      <c r="AZ19" s="18">
        <v>1.0</v>
      </c>
      <c r="BA19" s="18">
        <v>1.0</v>
      </c>
      <c r="BB19" s="18">
        <v>1.0</v>
      </c>
      <c r="BC19" s="18">
        <v>1.0</v>
      </c>
      <c r="BD19" s="18">
        <v>1.0</v>
      </c>
      <c r="BE19" s="18">
        <v>1.0</v>
      </c>
      <c r="BF19" s="18">
        <v>1.0</v>
      </c>
      <c r="BG19" s="18">
        <v>1.0</v>
      </c>
      <c r="BH19" s="18">
        <v>1.0</v>
      </c>
      <c r="BI19" s="18">
        <v>1.0</v>
      </c>
      <c r="BJ19" s="18">
        <v>1.0</v>
      </c>
      <c r="BK19" s="18">
        <v>1.0</v>
      </c>
      <c r="BL19" s="18">
        <v>1.0</v>
      </c>
      <c r="BM19" s="18">
        <v>2.0</v>
      </c>
      <c r="BN19" s="18">
        <v>3.0</v>
      </c>
      <c r="BO19" s="18">
        <v>3.0</v>
      </c>
      <c r="BP19" s="18">
        <v>3.0</v>
      </c>
      <c r="BQ19" s="18">
        <v>2.0</v>
      </c>
      <c r="BR19" s="18">
        <v>3.0</v>
      </c>
      <c r="BS19" s="18">
        <v>3.0</v>
      </c>
      <c r="BT19" s="18">
        <v>3.0</v>
      </c>
      <c r="BU19" s="18">
        <v>3.0</v>
      </c>
      <c r="BV19" s="18">
        <v>3.0</v>
      </c>
      <c r="BW19" s="18">
        <v>3.0</v>
      </c>
      <c r="BX19" s="18">
        <v>3.0</v>
      </c>
      <c r="BY19" s="18">
        <v>3.0</v>
      </c>
      <c r="BZ19" s="18">
        <v>3.0</v>
      </c>
      <c r="CA19" s="18">
        <v>1.0</v>
      </c>
      <c r="CB19" s="18">
        <v>1.0</v>
      </c>
      <c r="CC19" s="18">
        <v>1.0</v>
      </c>
      <c r="CD19" s="18">
        <v>1.0</v>
      </c>
      <c r="CE19" s="18">
        <v>1.0</v>
      </c>
      <c r="CF19" s="18">
        <v>1.0</v>
      </c>
      <c r="CG19" s="18">
        <v>1.0</v>
      </c>
      <c r="CH19" s="18">
        <v>1.0</v>
      </c>
      <c r="CI19" s="18">
        <v>1.0</v>
      </c>
      <c r="CJ19" s="18">
        <v>1.0</v>
      </c>
      <c r="CK19" s="18">
        <v>1.0</v>
      </c>
      <c r="CL19" s="18">
        <v>1.0</v>
      </c>
      <c r="CM19" s="18">
        <v>1.0</v>
      </c>
      <c r="CN19" s="18">
        <v>1.0</v>
      </c>
      <c r="CO19" s="18">
        <v>1.0</v>
      </c>
      <c r="CP19" s="18">
        <v>1.0</v>
      </c>
      <c r="CQ19" s="18">
        <v>1.0</v>
      </c>
      <c r="CR19" s="18">
        <v>1.0</v>
      </c>
      <c r="CS19" s="18">
        <v>1.0</v>
      </c>
      <c r="CT19" s="18">
        <v>1.0</v>
      </c>
      <c r="CU19" s="18">
        <v>1.0</v>
      </c>
      <c r="CV19" s="18">
        <v>1.0</v>
      </c>
      <c r="CW19" s="18">
        <v>0.0</v>
      </c>
      <c r="CX19" s="18">
        <v>1.0</v>
      </c>
      <c r="CY19" s="18">
        <v>1.0</v>
      </c>
      <c r="CZ19" s="18">
        <v>0.0</v>
      </c>
      <c r="DA19" s="18">
        <v>0.0</v>
      </c>
      <c r="DB19" s="18">
        <v>1.0</v>
      </c>
      <c r="DC19" s="18">
        <v>1.0</v>
      </c>
      <c r="DD19" s="18">
        <v>1.0</v>
      </c>
      <c r="DE19" s="18">
        <v>0.0</v>
      </c>
      <c r="DF19" s="18">
        <v>0.0</v>
      </c>
      <c r="DG19" s="18">
        <v>0.0</v>
      </c>
      <c r="DH19" s="18">
        <v>0.0</v>
      </c>
      <c r="DI19" s="18">
        <v>0.0</v>
      </c>
      <c r="DJ19" s="18">
        <v>0.0</v>
      </c>
      <c r="DK19" s="18">
        <v>0.0</v>
      </c>
      <c r="DL19" s="18">
        <v>0.0</v>
      </c>
      <c r="DM19" s="18">
        <v>1.0</v>
      </c>
      <c r="DN19" s="18">
        <v>0.0</v>
      </c>
      <c r="DO19" s="18">
        <v>0.0</v>
      </c>
      <c r="DP19" s="18">
        <v>0.0</v>
      </c>
      <c r="DQ19" s="18">
        <v>0.0</v>
      </c>
      <c r="DR19" s="18">
        <v>2.0</v>
      </c>
      <c r="DS19" s="18">
        <v>1.0</v>
      </c>
      <c r="DT19" s="18">
        <v>2.0</v>
      </c>
      <c r="DU19" s="18">
        <v>1.0</v>
      </c>
      <c r="DV19" s="18">
        <v>1.0</v>
      </c>
      <c r="DW19" s="18">
        <v>1.0</v>
      </c>
      <c r="DX19" s="18">
        <v>1.0</v>
      </c>
      <c r="DY19" s="18">
        <v>1.0</v>
      </c>
      <c r="DZ19" s="18">
        <v>1.0</v>
      </c>
      <c r="EA19" s="18">
        <v>1.0</v>
      </c>
      <c r="EB19" s="18">
        <v>1.0</v>
      </c>
      <c r="EC19" s="18">
        <v>0.0</v>
      </c>
      <c r="ED19" s="18">
        <v>0.0</v>
      </c>
      <c r="EE19" s="18">
        <v>0.0</v>
      </c>
      <c r="EF19" s="18">
        <v>0.0</v>
      </c>
      <c r="EG19" s="18">
        <v>0.0</v>
      </c>
      <c r="EH19" s="18">
        <v>0.0</v>
      </c>
      <c r="EI19" s="18">
        <v>0.0</v>
      </c>
      <c r="EJ19" s="18">
        <v>0.0</v>
      </c>
      <c r="EK19" s="18">
        <v>0.0</v>
      </c>
      <c r="EL19" s="18">
        <v>0.0</v>
      </c>
      <c r="EM19" s="18">
        <v>0.0</v>
      </c>
      <c r="EN19" s="18">
        <v>0.0</v>
      </c>
      <c r="EO19" s="18">
        <v>0.0</v>
      </c>
    </row>
    <row r="20" ht="21.75" customHeight="1">
      <c r="A20" s="17" t="s">
        <v>219</v>
      </c>
      <c r="B20" s="17" t="s">
        <v>220</v>
      </c>
      <c r="C20" s="17" t="s">
        <v>203</v>
      </c>
      <c r="D20" s="17" t="s">
        <v>21</v>
      </c>
      <c r="E20" s="17" t="s">
        <v>197</v>
      </c>
      <c r="F20" s="18">
        <v>3.0</v>
      </c>
      <c r="G20" s="18">
        <v>2.0</v>
      </c>
      <c r="H20" s="18">
        <v>2.0</v>
      </c>
      <c r="I20" s="18">
        <v>2.0</v>
      </c>
      <c r="J20" s="18">
        <v>3.0</v>
      </c>
      <c r="K20" s="18">
        <v>2.0</v>
      </c>
      <c r="L20" s="18">
        <v>2.0</v>
      </c>
      <c r="M20" s="18">
        <v>2.0</v>
      </c>
      <c r="N20" s="18">
        <v>2.0</v>
      </c>
      <c r="O20" s="18">
        <v>3.0</v>
      </c>
      <c r="P20" s="18">
        <v>3.0</v>
      </c>
      <c r="Q20" s="18">
        <v>3.0</v>
      </c>
      <c r="R20" s="18">
        <v>3.0</v>
      </c>
      <c r="S20" s="18">
        <v>2.0</v>
      </c>
      <c r="T20" s="18">
        <v>1.0</v>
      </c>
      <c r="U20" s="18">
        <v>1.0</v>
      </c>
      <c r="V20" s="18">
        <v>1.0</v>
      </c>
      <c r="W20" s="18">
        <v>1.0</v>
      </c>
      <c r="X20" s="18">
        <v>1.0</v>
      </c>
      <c r="Y20" s="18">
        <v>1.0</v>
      </c>
      <c r="Z20" s="18">
        <v>1.0</v>
      </c>
      <c r="AA20" s="18">
        <v>1.0</v>
      </c>
      <c r="AB20" s="18">
        <v>0.0</v>
      </c>
      <c r="AC20" s="18">
        <v>1.0</v>
      </c>
      <c r="AD20" s="18">
        <v>1.0</v>
      </c>
      <c r="AE20" s="18">
        <v>1.0</v>
      </c>
      <c r="AF20" s="18">
        <v>1.0</v>
      </c>
      <c r="AG20" s="18">
        <v>1.0</v>
      </c>
      <c r="AH20" s="18">
        <v>1.0</v>
      </c>
      <c r="AI20" s="18">
        <v>0.0</v>
      </c>
      <c r="AJ20" s="18">
        <v>0.0</v>
      </c>
      <c r="AK20" s="18">
        <v>0.0</v>
      </c>
      <c r="AL20" s="18">
        <v>0.0</v>
      </c>
      <c r="AM20" s="18">
        <v>0.0</v>
      </c>
      <c r="AN20" s="18">
        <v>0.0</v>
      </c>
      <c r="AO20" s="18">
        <v>0.0</v>
      </c>
      <c r="AP20" s="18">
        <v>0.0</v>
      </c>
      <c r="AQ20" s="18">
        <v>0.0</v>
      </c>
      <c r="AR20" s="18">
        <v>0.0</v>
      </c>
      <c r="AS20" s="18">
        <v>0.0</v>
      </c>
      <c r="AT20" s="18">
        <v>0.0</v>
      </c>
      <c r="AU20" s="18">
        <v>0.0</v>
      </c>
      <c r="AV20" s="18">
        <v>0.0</v>
      </c>
      <c r="AW20" s="18">
        <v>0.0</v>
      </c>
      <c r="AX20" s="18">
        <v>1.0</v>
      </c>
      <c r="AY20" s="18">
        <v>1.0</v>
      </c>
      <c r="AZ20" s="18">
        <v>1.0</v>
      </c>
      <c r="BA20" s="18">
        <v>1.0</v>
      </c>
      <c r="BB20" s="18">
        <v>1.0</v>
      </c>
      <c r="BC20" s="18">
        <v>1.0</v>
      </c>
      <c r="BD20" s="18">
        <v>1.0</v>
      </c>
      <c r="BE20" s="18">
        <v>1.0</v>
      </c>
      <c r="BF20" s="18">
        <v>1.0</v>
      </c>
      <c r="BG20" s="18">
        <v>1.0</v>
      </c>
      <c r="BH20" s="18">
        <v>1.0</v>
      </c>
      <c r="BI20" s="18">
        <v>1.0</v>
      </c>
      <c r="BJ20" s="18">
        <v>1.0</v>
      </c>
      <c r="BK20" s="18">
        <v>1.0</v>
      </c>
      <c r="BL20" s="18">
        <v>1.0</v>
      </c>
      <c r="BM20" s="18">
        <v>1.0</v>
      </c>
      <c r="BN20" s="18">
        <v>1.0</v>
      </c>
      <c r="BO20" s="18">
        <v>1.0</v>
      </c>
      <c r="BP20" s="18">
        <v>1.0</v>
      </c>
      <c r="BQ20" s="18">
        <v>1.0</v>
      </c>
      <c r="BR20" s="18">
        <v>1.0</v>
      </c>
      <c r="BS20" s="18">
        <v>1.0</v>
      </c>
      <c r="BT20" s="18">
        <v>1.0</v>
      </c>
      <c r="BU20" s="18">
        <v>1.0</v>
      </c>
      <c r="BV20" s="18">
        <v>1.0</v>
      </c>
      <c r="BW20" s="18">
        <v>1.0</v>
      </c>
      <c r="BX20" s="18">
        <v>1.0</v>
      </c>
      <c r="BY20" s="18">
        <v>1.0</v>
      </c>
      <c r="BZ20" s="18">
        <v>1.0</v>
      </c>
      <c r="CA20" s="18">
        <v>1.0</v>
      </c>
      <c r="CB20" s="18">
        <v>1.0</v>
      </c>
      <c r="CC20" s="18">
        <v>1.0</v>
      </c>
      <c r="CD20" s="18">
        <v>1.0</v>
      </c>
      <c r="CE20" s="18">
        <v>1.0</v>
      </c>
      <c r="CF20" s="18">
        <v>1.0</v>
      </c>
      <c r="CG20" s="18">
        <v>1.0</v>
      </c>
      <c r="CH20" s="18">
        <v>1.0</v>
      </c>
      <c r="CI20" s="18">
        <v>1.0</v>
      </c>
      <c r="CJ20" s="18">
        <v>1.0</v>
      </c>
      <c r="CK20" s="18">
        <v>1.0</v>
      </c>
      <c r="CL20" s="18">
        <v>1.0</v>
      </c>
      <c r="CM20" s="18">
        <v>1.0</v>
      </c>
      <c r="CN20" s="18">
        <v>3.0</v>
      </c>
      <c r="CO20" s="18">
        <v>1.0</v>
      </c>
      <c r="CP20" s="18">
        <v>1.0</v>
      </c>
      <c r="CQ20" s="18">
        <v>1.0</v>
      </c>
      <c r="CR20" s="18">
        <v>1.0</v>
      </c>
      <c r="CS20" s="18">
        <v>1.0</v>
      </c>
      <c r="CT20" s="18">
        <v>1.0</v>
      </c>
      <c r="CU20" s="18">
        <v>1.0</v>
      </c>
      <c r="CV20" s="18">
        <v>1.0</v>
      </c>
      <c r="CW20" s="18">
        <v>0.0</v>
      </c>
      <c r="CX20" s="18">
        <v>1.0</v>
      </c>
      <c r="CY20" s="18">
        <v>1.0</v>
      </c>
      <c r="CZ20" s="18">
        <v>0.0</v>
      </c>
      <c r="DA20" s="18">
        <v>0.0</v>
      </c>
      <c r="DB20" s="18">
        <v>1.0</v>
      </c>
      <c r="DC20" s="18">
        <v>1.0</v>
      </c>
      <c r="DD20" s="18">
        <v>1.0</v>
      </c>
      <c r="DE20" s="18">
        <v>0.0</v>
      </c>
      <c r="DF20" s="18">
        <v>0.0</v>
      </c>
      <c r="DG20" s="18">
        <v>0.0</v>
      </c>
      <c r="DH20" s="18">
        <v>0.0</v>
      </c>
      <c r="DI20" s="18">
        <v>0.0</v>
      </c>
      <c r="DJ20" s="18">
        <v>0.0</v>
      </c>
      <c r="DK20" s="18">
        <v>0.0</v>
      </c>
      <c r="DL20" s="18">
        <v>0.0</v>
      </c>
      <c r="DM20" s="18">
        <v>2.0</v>
      </c>
      <c r="DN20" s="18">
        <v>0.0</v>
      </c>
      <c r="DO20" s="18">
        <v>0.0</v>
      </c>
      <c r="DP20" s="18">
        <v>0.0</v>
      </c>
      <c r="DQ20" s="18">
        <v>0.0</v>
      </c>
      <c r="DR20" s="18">
        <v>3.0</v>
      </c>
      <c r="DS20" s="18">
        <v>2.0</v>
      </c>
      <c r="DT20" s="18">
        <v>3.0</v>
      </c>
      <c r="DU20" s="18">
        <v>2.0</v>
      </c>
      <c r="DV20" s="18">
        <v>2.0</v>
      </c>
      <c r="DW20" s="18">
        <v>2.0</v>
      </c>
      <c r="DX20" s="18">
        <v>2.0</v>
      </c>
      <c r="DY20" s="18">
        <v>2.0</v>
      </c>
      <c r="DZ20" s="18">
        <v>2.0</v>
      </c>
      <c r="EA20" s="18">
        <v>2.0</v>
      </c>
      <c r="EB20" s="18">
        <v>2.0</v>
      </c>
      <c r="EC20" s="18">
        <v>1.0</v>
      </c>
      <c r="ED20" s="18">
        <v>1.0</v>
      </c>
      <c r="EE20" s="18">
        <v>1.0</v>
      </c>
      <c r="EF20" s="18">
        <v>1.0</v>
      </c>
      <c r="EG20" s="18">
        <v>1.0</v>
      </c>
      <c r="EH20" s="18">
        <v>1.0</v>
      </c>
      <c r="EI20" s="18">
        <v>1.0</v>
      </c>
      <c r="EJ20" s="18">
        <v>1.0</v>
      </c>
      <c r="EK20" s="18">
        <v>0.0</v>
      </c>
      <c r="EL20" s="18">
        <v>1.0</v>
      </c>
      <c r="EM20" s="18">
        <v>1.0</v>
      </c>
      <c r="EN20" s="18">
        <v>0.0</v>
      </c>
      <c r="EO20" s="18">
        <v>1.0</v>
      </c>
    </row>
    <row r="21" ht="21.75" customHeight="1">
      <c r="A21" s="17" t="s">
        <v>221</v>
      </c>
      <c r="B21" s="17" t="s">
        <v>222</v>
      </c>
      <c r="C21" s="17" t="s">
        <v>223</v>
      </c>
      <c r="D21" s="17" t="s">
        <v>21</v>
      </c>
      <c r="E21" s="17" t="s">
        <v>197</v>
      </c>
      <c r="F21" s="18">
        <v>3.0</v>
      </c>
      <c r="G21" s="18">
        <v>2.0</v>
      </c>
      <c r="H21" s="18">
        <v>2.0</v>
      </c>
      <c r="I21" s="18">
        <v>2.0</v>
      </c>
      <c r="J21" s="18">
        <v>2.0</v>
      </c>
      <c r="K21" s="18">
        <v>2.0</v>
      </c>
      <c r="L21" s="18">
        <v>2.0</v>
      </c>
      <c r="M21" s="18">
        <v>2.0</v>
      </c>
      <c r="N21" s="18">
        <v>2.0</v>
      </c>
      <c r="O21" s="18">
        <v>3.0</v>
      </c>
      <c r="P21" s="18">
        <v>3.0</v>
      </c>
      <c r="Q21" s="18">
        <v>3.0</v>
      </c>
      <c r="R21" s="18">
        <v>3.0</v>
      </c>
      <c r="S21" s="18">
        <v>2.0</v>
      </c>
      <c r="T21" s="18">
        <v>2.0</v>
      </c>
      <c r="U21" s="18">
        <v>3.0</v>
      </c>
      <c r="V21" s="18">
        <v>2.0</v>
      </c>
      <c r="W21" s="18">
        <v>2.0</v>
      </c>
      <c r="X21" s="18">
        <v>2.0</v>
      </c>
      <c r="Y21" s="18">
        <v>2.0</v>
      </c>
      <c r="Z21" s="18">
        <v>2.0</v>
      </c>
      <c r="AA21" s="18">
        <v>2.0</v>
      </c>
      <c r="AB21" s="18">
        <v>1.0</v>
      </c>
      <c r="AC21" s="18">
        <v>2.0</v>
      </c>
      <c r="AD21" s="18">
        <v>2.0</v>
      </c>
      <c r="AE21" s="18">
        <v>2.0</v>
      </c>
      <c r="AF21" s="18">
        <v>2.0</v>
      </c>
      <c r="AG21" s="18">
        <v>2.0</v>
      </c>
      <c r="AH21" s="18">
        <v>2.0</v>
      </c>
      <c r="AI21" s="18">
        <v>1.0</v>
      </c>
      <c r="AJ21" s="18">
        <v>1.0</v>
      </c>
      <c r="AK21" s="18">
        <v>1.0</v>
      </c>
      <c r="AL21" s="18">
        <v>1.0</v>
      </c>
      <c r="AM21" s="18">
        <v>1.0</v>
      </c>
      <c r="AN21" s="18">
        <v>1.0</v>
      </c>
      <c r="AO21" s="18">
        <v>1.0</v>
      </c>
      <c r="AP21" s="18">
        <v>1.0</v>
      </c>
      <c r="AQ21" s="18">
        <v>1.0</v>
      </c>
      <c r="AR21" s="18">
        <v>1.0</v>
      </c>
      <c r="AS21" s="18">
        <v>1.0</v>
      </c>
      <c r="AT21" s="18">
        <v>1.0</v>
      </c>
      <c r="AU21" s="18">
        <v>1.0</v>
      </c>
      <c r="AV21" s="18">
        <v>1.0</v>
      </c>
      <c r="AW21" s="18">
        <v>0.0</v>
      </c>
      <c r="AX21" s="18">
        <v>1.0</v>
      </c>
      <c r="AY21" s="18">
        <v>1.0</v>
      </c>
      <c r="AZ21" s="18">
        <v>1.0</v>
      </c>
      <c r="BA21" s="18">
        <v>1.0</v>
      </c>
      <c r="BB21" s="18">
        <v>1.0</v>
      </c>
      <c r="BC21" s="18">
        <v>1.0</v>
      </c>
      <c r="BD21" s="18">
        <v>1.0</v>
      </c>
      <c r="BE21" s="18">
        <v>1.0</v>
      </c>
      <c r="BF21" s="18">
        <v>1.0</v>
      </c>
      <c r="BG21" s="18">
        <v>1.0</v>
      </c>
      <c r="BH21" s="18">
        <v>1.0</v>
      </c>
      <c r="BI21" s="18">
        <v>1.0</v>
      </c>
      <c r="BJ21" s="18">
        <v>1.0</v>
      </c>
      <c r="BK21" s="18">
        <v>1.0</v>
      </c>
      <c r="BL21" s="18">
        <v>1.0</v>
      </c>
      <c r="BM21" s="18">
        <v>2.0</v>
      </c>
      <c r="BN21" s="18">
        <v>2.0</v>
      </c>
      <c r="BO21" s="18">
        <v>2.0</v>
      </c>
      <c r="BP21" s="18">
        <v>2.0</v>
      </c>
      <c r="BQ21" s="18">
        <v>2.0</v>
      </c>
      <c r="BR21" s="18">
        <v>2.0</v>
      </c>
      <c r="BS21" s="18">
        <v>2.0</v>
      </c>
      <c r="BT21" s="18">
        <v>2.0</v>
      </c>
      <c r="BU21" s="18">
        <v>2.0</v>
      </c>
      <c r="BV21" s="18">
        <v>2.0</v>
      </c>
      <c r="BW21" s="18">
        <v>2.0</v>
      </c>
      <c r="BX21" s="18">
        <v>2.0</v>
      </c>
      <c r="BY21" s="18">
        <v>2.0</v>
      </c>
      <c r="BZ21" s="18">
        <v>2.0</v>
      </c>
      <c r="CA21" s="18">
        <v>2.0</v>
      </c>
      <c r="CB21" s="18">
        <v>2.0</v>
      </c>
      <c r="CC21" s="18">
        <v>2.0</v>
      </c>
      <c r="CD21" s="18">
        <v>2.0</v>
      </c>
      <c r="CE21" s="18">
        <v>2.0</v>
      </c>
      <c r="CF21" s="18">
        <v>2.0</v>
      </c>
      <c r="CG21" s="18">
        <v>2.0</v>
      </c>
      <c r="CH21" s="18">
        <v>2.0</v>
      </c>
      <c r="CI21" s="18">
        <v>2.0</v>
      </c>
      <c r="CJ21" s="18">
        <v>2.0</v>
      </c>
      <c r="CK21" s="18">
        <v>2.0</v>
      </c>
      <c r="CL21" s="18">
        <v>2.0</v>
      </c>
      <c r="CM21" s="18">
        <v>2.0</v>
      </c>
      <c r="CN21" s="18">
        <v>2.0</v>
      </c>
      <c r="CO21" s="18">
        <v>2.0</v>
      </c>
      <c r="CP21" s="18">
        <v>2.0</v>
      </c>
      <c r="CQ21" s="18">
        <v>2.0</v>
      </c>
      <c r="CR21" s="18">
        <v>2.0</v>
      </c>
      <c r="CS21" s="18">
        <v>2.0</v>
      </c>
      <c r="CT21" s="18">
        <v>2.0</v>
      </c>
      <c r="CU21" s="18">
        <v>2.0</v>
      </c>
      <c r="CV21" s="18">
        <v>2.0</v>
      </c>
      <c r="CW21" s="18">
        <v>1.0</v>
      </c>
      <c r="CX21" s="18">
        <v>2.0</v>
      </c>
      <c r="CY21" s="18">
        <v>2.0</v>
      </c>
      <c r="CZ21" s="18">
        <v>1.0</v>
      </c>
      <c r="DA21" s="18">
        <v>1.0</v>
      </c>
      <c r="DB21" s="18">
        <v>2.0</v>
      </c>
      <c r="DC21" s="18">
        <v>2.0</v>
      </c>
      <c r="DD21" s="18">
        <v>2.0</v>
      </c>
      <c r="DE21" s="18">
        <v>0.0</v>
      </c>
      <c r="DF21" s="18">
        <v>0.0</v>
      </c>
      <c r="DG21" s="18">
        <v>0.0</v>
      </c>
      <c r="DH21" s="18">
        <v>0.0</v>
      </c>
      <c r="DI21" s="18">
        <v>0.0</v>
      </c>
      <c r="DJ21" s="18">
        <v>0.0</v>
      </c>
      <c r="DK21" s="18">
        <v>0.0</v>
      </c>
      <c r="DL21" s="18">
        <v>0.0</v>
      </c>
      <c r="DM21" s="18">
        <v>1.0</v>
      </c>
      <c r="DN21" s="18">
        <v>0.0</v>
      </c>
      <c r="DO21" s="18">
        <v>0.0</v>
      </c>
      <c r="DP21" s="18">
        <v>0.0</v>
      </c>
      <c r="DQ21" s="18">
        <v>0.0</v>
      </c>
      <c r="DR21" s="18">
        <v>3.0</v>
      </c>
      <c r="DS21" s="18">
        <v>3.0</v>
      </c>
      <c r="DT21" s="18">
        <v>3.0</v>
      </c>
      <c r="DU21" s="18">
        <v>2.0</v>
      </c>
      <c r="DV21" s="18">
        <v>3.0</v>
      </c>
      <c r="DW21" s="18">
        <v>2.0</v>
      </c>
      <c r="DX21" s="18">
        <v>2.0</v>
      </c>
      <c r="DY21" s="18">
        <v>2.0</v>
      </c>
      <c r="DZ21" s="18">
        <v>2.0</v>
      </c>
      <c r="EA21" s="18">
        <v>2.0</v>
      </c>
      <c r="EB21" s="18">
        <v>2.0</v>
      </c>
      <c r="EC21" s="18">
        <v>1.0</v>
      </c>
      <c r="ED21" s="18">
        <v>1.0</v>
      </c>
      <c r="EE21" s="18">
        <v>1.0</v>
      </c>
      <c r="EF21" s="18">
        <v>1.0</v>
      </c>
      <c r="EG21" s="18">
        <v>1.0</v>
      </c>
      <c r="EH21" s="18">
        <v>1.0</v>
      </c>
      <c r="EI21" s="18">
        <v>1.0</v>
      </c>
      <c r="EJ21" s="18">
        <v>1.0</v>
      </c>
      <c r="EK21" s="18">
        <v>0.0</v>
      </c>
      <c r="EL21" s="18">
        <v>1.0</v>
      </c>
      <c r="EM21" s="18">
        <v>1.0</v>
      </c>
      <c r="EN21" s="18">
        <v>0.0</v>
      </c>
      <c r="EO21" s="18">
        <v>1.0</v>
      </c>
    </row>
    <row r="22" ht="21.75" customHeight="1">
      <c r="A22" s="17" t="s">
        <v>224</v>
      </c>
      <c r="B22" s="17" t="s">
        <v>225</v>
      </c>
      <c r="C22" s="17" t="s">
        <v>226</v>
      </c>
      <c r="D22" s="17" t="s">
        <v>21</v>
      </c>
      <c r="E22" s="17" t="s">
        <v>197</v>
      </c>
      <c r="F22" s="18">
        <v>3.0</v>
      </c>
      <c r="G22" s="18">
        <v>2.0</v>
      </c>
      <c r="H22" s="18">
        <v>2.0</v>
      </c>
      <c r="I22" s="18">
        <v>2.0</v>
      </c>
      <c r="J22" s="18">
        <v>2.0</v>
      </c>
      <c r="K22" s="18">
        <v>2.0</v>
      </c>
      <c r="L22" s="18">
        <v>2.0</v>
      </c>
      <c r="M22" s="18">
        <v>2.0</v>
      </c>
      <c r="N22" s="18">
        <v>2.0</v>
      </c>
      <c r="O22" s="18">
        <v>3.0</v>
      </c>
      <c r="P22" s="18">
        <v>3.0</v>
      </c>
      <c r="Q22" s="18">
        <v>3.0</v>
      </c>
      <c r="R22" s="18">
        <v>3.0</v>
      </c>
      <c r="S22" s="18">
        <v>2.0</v>
      </c>
      <c r="T22" s="18">
        <v>3.0</v>
      </c>
      <c r="U22" s="18">
        <v>3.0</v>
      </c>
      <c r="V22" s="18">
        <v>3.0</v>
      </c>
      <c r="W22" s="18">
        <v>3.0</v>
      </c>
      <c r="X22" s="18">
        <v>3.0</v>
      </c>
      <c r="Y22" s="18">
        <v>3.0</v>
      </c>
      <c r="Z22" s="18">
        <v>3.0</v>
      </c>
      <c r="AA22" s="18">
        <v>3.0</v>
      </c>
      <c r="AB22" s="18">
        <v>3.0</v>
      </c>
      <c r="AC22" s="18">
        <v>3.0</v>
      </c>
      <c r="AD22" s="18">
        <v>3.0</v>
      </c>
      <c r="AE22" s="18">
        <v>3.0</v>
      </c>
      <c r="AF22" s="18">
        <v>3.0</v>
      </c>
      <c r="AG22" s="18">
        <v>3.0</v>
      </c>
      <c r="AH22" s="18">
        <v>3.0</v>
      </c>
      <c r="AI22" s="18">
        <v>3.0</v>
      </c>
      <c r="AJ22" s="18">
        <v>1.0</v>
      </c>
      <c r="AK22" s="18">
        <v>1.0</v>
      </c>
      <c r="AL22" s="18">
        <v>1.0</v>
      </c>
      <c r="AM22" s="18">
        <v>1.0</v>
      </c>
      <c r="AN22" s="18">
        <v>1.0</v>
      </c>
      <c r="AO22" s="18">
        <v>1.0</v>
      </c>
      <c r="AP22" s="18">
        <v>1.0</v>
      </c>
      <c r="AQ22" s="18">
        <v>1.0</v>
      </c>
      <c r="AR22" s="18">
        <v>1.0</v>
      </c>
      <c r="AS22" s="18">
        <v>1.0</v>
      </c>
      <c r="AT22" s="18">
        <v>1.0</v>
      </c>
      <c r="AU22" s="18">
        <v>1.0</v>
      </c>
      <c r="AV22" s="18">
        <v>1.0</v>
      </c>
      <c r="AW22" s="18">
        <v>0.0</v>
      </c>
      <c r="AX22" s="18">
        <v>2.0</v>
      </c>
      <c r="AY22" s="18">
        <v>2.0</v>
      </c>
      <c r="AZ22" s="18">
        <v>2.0</v>
      </c>
      <c r="BA22" s="18">
        <v>2.0</v>
      </c>
      <c r="BB22" s="18">
        <v>2.0</v>
      </c>
      <c r="BC22" s="18">
        <v>2.0</v>
      </c>
      <c r="BD22" s="18">
        <v>2.0</v>
      </c>
      <c r="BE22" s="18">
        <v>2.0</v>
      </c>
      <c r="BF22" s="18">
        <v>2.0</v>
      </c>
      <c r="BG22" s="18">
        <v>2.0</v>
      </c>
      <c r="BH22" s="18">
        <v>2.0</v>
      </c>
      <c r="BI22" s="18">
        <v>2.0</v>
      </c>
      <c r="BJ22" s="18">
        <v>2.0</v>
      </c>
      <c r="BK22" s="18">
        <v>2.0</v>
      </c>
      <c r="BL22" s="18">
        <v>2.0</v>
      </c>
      <c r="BM22" s="18">
        <v>2.0</v>
      </c>
      <c r="BN22" s="18">
        <v>2.0</v>
      </c>
      <c r="BO22" s="18">
        <v>2.0</v>
      </c>
      <c r="BP22" s="18">
        <v>2.0</v>
      </c>
      <c r="BQ22" s="18">
        <v>2.0</v>
      </c>
      <c r="BR22" s="18">
        <v>2.0</v>
      </c>
      <c r="BS22" s="18">
        <v>2.0</v>
      </c>
      <c r="BT22" s="18">
        <v>2.0</v>
      </c>
      <c r="BU22" s="18">
        <v>2.0</v>
      </c>
      <c r="BV22" s="18">
        <v>2.0</v>
      </c>
      <c r="BW22" s="18">
        <v>2.0</v>
      </c>
      <c r="BX22" s="18">
        <v>2.0</v>
      </c>
      <c r="BY22" s="18">
        <v>2.0</v>
      </c>
      <c r="BZ22" s="18">
        <v>2.0</v>
      </c>
      <c r="CA22" s="18">
        <v>3.0</v>
      </c>
      <c r="CB22" s="18">
        <v>3.0</v>
      </c>
      <c r="CC22" s="18">
        <v>3.0</v>
      </c>
      <c r="CD22" s="18">
        <v>3.0</v>
      </c>
      <c r="CE22" s="18">
        <v>3.0</v>
      </c>
      <c r="CF22" s="18">
        <v>3.0</v>
      </c>
      <c r="CG22" s="18">
        <v>3.0</v>
      </c>
      <c r="CH22" s="18">
        <v>3.0</v>
      </c>
      <c r="CI22" s="18">
        <v>3.0</v>
      </c>
      <c r="CJ22" s="18">
        <v>3.0</v>
      </c>
      <c r="CK22" s="18">
        <v>3.0</v>
      </c>
      <c r="CL22" s="18">
        <v>3.0</v>
      </c>
      <c r="CM22" s="18">
        <v>3.0</v>
      </c>
      <c r="CN22" s="18">
        <v>3.0</v>
      </c>
      <c r="CO22" s="18">
        <v>3.0</v>
      </c>
      <c r="CP22" s="18">
        <v>3.0</v>
      </c>
      <c r="CQ22" s="18">
        <v>3.0</v>
      </c>
      <c r="CR22" s="18">
        <v>3.0</v>
      </c>
      <c r="CS22" s="18">
        <v>3.0</v>
      </c>
      <c r="CT22" s="18">
        <v>3.0</v>
      </c>
      <c r="CU22" s="18">
        <v>3.0</v>
      </c>
      <c r="CV22" s="18">
        <v>3.0</v>
      </c>
      <c r="CW22" s="18">
        <v>2.0</v>
      </c>
      <c r="CX22" s="18">
        <v>3.0</v>
      </c>
      <c r="CY22" s="18">
        <v>3.0</v>
      </c>
      <c r="CZ22" s="18">
        <v>2.0</v>
      </c>
      <c r="DA22" s="18">
        <v>2.0</v>
      </c>
      <c r="DB22" s="18">
        <v>3.0</v>
      </c>
      <c r="DC22" s="18">
        <v>3.0</v>
      </c>
      <c r="DD22" s="18">
        <v>3.0</v>
      </c>
      <c r="DE22" s="18">
        <v>0.0</v>
      </c>
      <c r="DF22" s="18">
        <v>0.0</v>
      </c>
      <c r="DG22" s="18">
        <v>0.0</v>
      </c>
      <c r="DH22" s="18">
        <v>0.0</v>
      </c>
      <c r="DI22" s="18">
        <v>0.0</v>
      </c>
      <c r="DJ22" s="18">
        <v>0.0</v>
      </c>
      <c r="DK22" s="18">
        <v>0.0</v>
      </c>
      <c r="DL22" s="18">
        <v>0.0</v>
      </c>
      <c r="DM22" s="18">
        <v>1.0</v>
      </c>
      <c r="DN22" s="18">
        <v>0.0</v>
      </c>
      <c r="DO22" s="18">
        <v>0.0</v>
      </c>
      <c r="DP22" s="18">
        <v>0.0</v>
      </c>
      <c r="DQ22" s="18">
        <v>0.0</v>
      </c>
      <c r="DR22" s="18">
        <v>3.0</v>
      </c>
      <c r="DS22" s="18">
        <v>2.0</v>
      </c>
      <c r="DT22" s="18">
        <v>3.0</v>
      </c>
      <c r="DU22" s="18">
        <v>2.0</v>
      </c>
      <c r="DV22" s="18">
        <v>3.0</v>
      </c>
      <c r="DW22" s="18">
        <v>2.0</v>
      </c>
      <c r="DX22" s="18">
        <v>2.0</v>
      </c>
      <c r="DY22" s="18">
        <v>2.0</v>
      </c>
      <c r="DZ22" s="18">
        <v>2.0</v>
      </c>
      <c r="EA22" s="18">
        <v>2.0</v>
      </c>
      <c r="EB22" s="18">
        <v>2.0</v>
      </c>
      <c r="EC22" s="18">
        <v>1.0</v>
      </c>
      <c r="ED22" s="18">
        <v>1.0</v>
      </c>
      <c r="EE22" s="18">
        <v>1.0</v>
      </c>
      <c r="EF22" s="18">
        <v>1.0</v>
      </c>
      <c r="EG22" s="18">
        <v>1.0</v>
      </c>
      <c r="EH22" s="18">
        <v>1.0</v>
      </c>
      <c r="EI22" s="18">
        <v>1.0</v>
      </c>
      <c r="EJ22" s="18">
        <v>1.0</v>
      </c>
      <c r="EK22" s="18">
        <v>0.0</v>
      </c>
      <c r="EL22" s="18">
        <v>1.0</v>
      </c>
      <c r="EM22" s="18">
        <v>1.0</v>
      </c>
      <c r="EN22" s="18">
        <v>0.0</v>
      </c>
      <c r="EO22" s="18">
        <v>1.0</v>
      </c>
    </row>
    <row r="23" ht="21.75" customHeight="1">
      <c r="A23" s="17" t="s">
        <v>28</v>
      </c>
      <c r="B23" s="17" t="s">
        <v>29</v>
      </c>
      <c r="C23" s="17" t="s">
        <v>203</v>
      </c>
      <c r="D23" s="17" t="s">
        <v>21</v>
      </c>
      <c r="E23" s="17" t="s">
        <v>197</v>
      </c>
      <c r="F23" s="18">
        <v>3.0</v>
      </c>
      <c r="G23" s="18">
        <v>3.0</v>
      </c>
      <c r="H23" s="18">
        <v>3.0</v>
      </c>
      <c r="I23" s="18">
        <v>3.0</v>
      </c>
      <c r="J23" s="18">
        <v>3.0</v>
      </c>
      <c r="K23" s="18">
        <v>3.0</v>
      </c>
      <c r="L23" s="18">
        <v>3.0</v>
      </c>
      <c r="M23" s="18">
        <v>3.0</v>
      </c>
      <c r="N23" s="18">
        <v>3.0</v>
      </c>
      <c r="O23" s="18">
        <v>3.0</v>
      </c>
      <c r="P23" s="18">
        <v>3.0</v>
      </c>
      <c r="Q23" s="18">
        <v>3.0</v>
      </c>
      <c r="R23" s="18">
        <v>3.0</v>
      </c>
      <c r="S23" s="18">
        <v>3.0</v>
      </c>
      <c r="T23" s="18">
        <v>3.0</v>
      </c>
      <c r="U23" s="18">
        <v>3.0</v>
      </c>
      <c r="V23" s="18">
        <v>3.0</v>
      </c>
      <c r="W23" s="18">
        <v>3.0</v>
      </c>
      <c r="X23" s="18">
        <v>3.0</v>
      </c>
      <c r="Y23" s="18">
        <v>3.0</v>
      </c>
      <c r="Z23" s="18">
        <v>3.0</v>
      </c>
      <c r="AA23" s="18">
        <v>3.0</v>
      </c>
      <c r="AB23" s="18">
        <v>2.0</v>
      </c>
      <c r="AC23" s="18">
        <v>3.0</v>
      </c>
      <c r="AD23" s="18">
        <v>3.0</v>
      </c>
      <c r="AE23" s="18">
        <v>3.0</v>
      </c>
      <c r="AF23" s="18">
        <v>3.0</v>
      </c>
      <c r="AG23" s="18">
        <v>3.0</v>
      </c>
      <c r="AH23" s="18">
        <v>3.0</v>
      </c>
      <c r="AI23" s="18">
        <v>3.0</v>
      </c>
      <c r="AJ23" s="18">
        <v>3.0</v>
      </c>
      <c r="AK23" s="18">
        <v>3.0</v>
      </c>
      <c r="AL23" s="18">
        <v>3.0</v>
      </c>
      <c r="AM23" s="18">
        <v>3.0</v>
      </c>
      <c r="AN23" s="18">
        <v>3.0</v>
      </c>
      <c r="AO23" s="18">
        <v>3.0</v>
      </c>
      <c r="AP23" s="18">
        <v>3.0</v>
      </c>
      <c r="AQ23" s="18">
        <v>3.0</v>
      </c>
      <c r="AR23" s="18">
        <v>3.0</v>
      </c>
      <c r="AS23" s="18">
        <v>3.0</v>
      </c>
      <c r="AT23" s="18">
        <v>3.0</v>
      </c>
      <c r="AU23" s="18">
        <v>3.0</v>
      </c>
      <c r="AV23" s="18">
        <v>3.0</v>
      </c>
      <c r="AW23" s="18">
        <v>2.0</v>
      </c>
      <c r="AX23" s="18">
        <v>3.0</v>
      </c>
      <c r="AY23" s="18">
        <v>3.0</v>
      </c>
      <c r="AZ23" s="18">
        <v>3.0</v>
      </c>
      <c r="BA23" s="18">
        <v>3.0</v>
      </c>
      <c r="BB23" s="18">
        <v>3.0</v>
      </c>
      <c r="BC23" s="18">
        <v>3.0</v>
      </c>
      <c r="BD23" s="18">
        <v>3.0</v>
      </c>
      <c r="BE23" s="18">
        <v>3.0</v>
      </c>
      <c r="BF23" s="18">
        <v>3.0</v>
      </c>
      <c r="BG23" s="18">
        <v>3.0</v>
      </c>
      <c r="BH23" s="18">
        <v>3.0</v>
      </c>
      <c r="BI23" s="18">
        <v>3.0</v>
      </c>
      <c r="BJ23" s="18">
        <v>3.0</v>
      </c>
      <c r="BK23" s="18">
        <v>3.0</v>
      </c>
      <c r="BL23" s="18">
        <v>3.0</v>
      </c>
      <c r="BM23" s="18">
        <v>2.0</v>
      </c>
      <c r="BN23" s="18">
        <v>2.0</v>
      </c>
      <c r="BO23" s="18">
        <v>2.0</v>
      </c>
      <c r="BP23" s="18">
        <v>2.0</v>
      </c>
      <c r="BQ23" s="18">
        <v>2.0</v>
      </c>
      <c r="BR23" s="18">
        <v>2.0</v>
      </c>
      <c r="BS23" s="18">
        <v>2.0</v>
      </c>
      <c r="BT23" s="18">
        <v>2.0</v>
      </c>
      <c r="BU23" s="18">
        <v>2.0</v>
      </c>
      <c r="BV23" s="18">
        <v>2.0</v>
      </c>
      <c r="BW23" s="18">
        <v>2.0</v>
      </c>
      <c r="BX23" s="18">
        <v>2.0</v>
      </c>
      <c r="BY23" s="18">
        <v>2.0</v>
      </c>
      <c r="BZ23" s="18">
        <v>2.0</v>
      </c>
      <c r="CA23" s="18">
        <v>3.0</v>
      </c>
      <c r="CB23" s="18">
        <v>3.0</v>
      </c>
      <c r="CC23" s="18">
        <v>3.0</v>
      </c>
      <c r="CD23" s="18">
        <v>3.0</v>
      </c>
      <c r="CE23" s="18">
        <v>3.0</v>
      </c>
      <c r="CF23" s="18">
        <v>3.0</v>
      </c>
      <c r="CG23" s="18">
        <v>3.0</v>
      </c>
      <c r="CH23" s="18">
        <v>3.0</v>
      </c>
      <c r="CI23" s="18">
        <v>3.0</v>
      </c>
      <c r="CJ23" s="18">
        <v>3.0</v>
      </c>
      <c r="CK23" s="18">
        <v>3.0</v>
      </c>
      <c r="CL23" s="18">
        <v>3.0</v>
      </c>
      <c r="CM23" s="18">
        <v>3.0</v>
      </c>
      <c r="CN23" s="18">
        <v>3.0</v>
      </c>
      <c r="CO23" s="18">
        <v>3.0</v>
      </c>
      <c r="CP23" s="18">
        <v>3.0</v>
      </c>
      <c r="CQ23" s="18">
        <v>3.0</v>
      </c>
      <c r="CR23" s="18">
        <v>3.0</v>
      </c>
      <c r="CS23" s="18">
        <v>3.0</v>
      </c>
      <c r="CT23" s="18">
        <v>3.0</v>
      </c>
      <c r="CU23" s="18">
        <v>3.0</v>
      </c>
      <c r="CV23" s="18">
        <v>3.0</v>
      </c>
      <c r="CW23" s="18">
        <v>2.0</v>
      </c>
      <c r="CX23" s="18">
        <v>3.0</v>
      </c>
      <c r="CY23" s="18">
        <v>3.0</v>
      </c>
      <c r="CZ23" s="18">
        <v>2.0</v>
      </c>
      <c r="DA23" s="18">
        <v>2.0</v>
      </c>
      <c r="DB23" s="18">
        <v>3.0</v>
      </c>
      <c r="DC23" s="18">
        <v>3.0</v>
      </c>
      <c r="DD23" s="18">
        <v>3.0</v>
      </c>
      <c r="DE23" s="18">
        <v>2.0</v>
      </c>
      <c r="DF23" s="18">
        <v>2.0</v>
      </c>
      <c r="DG23" s="18">
        <v>2.0</v>
      </c>
      <c r="DH23" s="18">
        <v>2.0</v>
      </c>
      <c r="DI23" s="18">
        <v>2.0</v>
      </c>
      <c r="DJ23" s="18">
        <v>2.0</v>
      </c>
      <c r="DK23" s="18">
        <v>2.0</v>
      </c>
      <c r="DL23" s="18">
        <v>2.0</v>
      </c>
      <c r="DM23" s="18">
        <v>3.0</v>
      </c>
      <c r="DN23" s="18">
        <v>1.0</v>
      </c>
      <c r="DO23" s="18">
        <v>2.0</v>
      </c>
      <c r="DP23" s="18">
        <v>2.0</v>
      </c>
      <c r="DQ23" s="18">
        <v>2.0</v>
      </c>
      <c r="DR23" s="18">
        <v>3.0</v>
      </c>
      <c r="DS23" s="18">
        <v>3.0</v>
      </c>
      <c r="DT23" s="18">
        <v>3.0</v>
      </c>
      <c r="DU23" s="18">
        <v>3.0</v>
      </c>
      <c r="DV23" s="18">
        <v>3.0</v>
      </c>
      <c r="DW23" s="18">
        <v>3.0</v>
      </c>
      <c r="DX23" s="18">
        <v>3.0</v>
      </c>
      <c r="DY23" s="18">
        <v>3.0</v>
      </c>
      <c r="DZ23" s="18">
        <v>3.0</v>
      </c>
      <c r="EA23" s="18">
        <v>3.0</v>
      </c>
      <c r="EB23" s="18">
        <v>3.0</v>
      </c>
      <c r="EC23" s="18">
        <v>2.0</v>
      </c>
      <c r="ED23" s="18">
        <v>2.0</v>
      </c>
      <c r="EE23" s="18">
        <v>2.0</v>
      </c>
      <c r="EF23" s="18">
        <v>2.0</v>
      </c>
      <c r="EG23" s="18">
        <v>2.0</v>
      </c>
      <c r="EH23" s="18">
        <v>2.0</v>
      </c>
      <c r="EI23" s="18">
        <v>2.0</v>
      </c>
      <c r="EJ23" s="18">
        <v>2.0</v>
      </c>
      <c r="EK23" s="18">
        <v>1.0</v>
      </c>
      <c r="EL23" s="18">
        <v>2.0</v>
      </c>
      <c r="EM23" s="18">
        <v>2.0</v>
      </c>
      <c r="EN23" s="18">
        <v>1.0</v>
      </c>
      <c r="EO23" s="18">
        <v>2.0</v>
      </c>
    </row>
    <row r="24" ht="21.75" customHeight="1">
      <c r="A24" s="17" t="s">
        <v>227</v>
      </c>
      <c r="B24" s="17" t="s">
        <v>228</v>
      </c>
      <c r="C24" s="17" t="s">
        <v>203</v>
      </c>
      <c r="D24" s="17" t="s">
        <v>21</v>
      </c>
      <c r="E24" s="17" t="s">
        <v>197</v>
      </c>
      <c r="F24" s="18">
        <v>3.0</v>
      </c>
      <c r="G24" s="18">
        <v>2.0</v>
      </c>
      <c r="H24" s="18">
        <v>2.0</v>
      </c>
      <c r="I24" s="18">
        <v>2.0</v>
      </c>
      <c r="J24" s="18">
        <v>2.0</v>
      </c>
      <c r="K24" s="18">
        <v>2.0</v>
      </c>
      <c r="L24" s="18">
        <v>2.0</v>
      </c>
      <c r="M24" s="18">
        <v>2.0</v>
      </c>
      <c r="N24" s="18">
        <v>2.0</v>
      </c>
      <c r="O24" s="18">
        <v>3.0</v>
      </c>
      <c r="P24" s="18">
        <v>3.0</v>
      </c>
      <c r="Q24" s="18">
        <v>3.0</v>
      </c>
      <c r="R24" s="18">
        <v>3.0</v>
      </c>
      <c r="S24" s="18">
        <v>2.0</v>
      </c>
      <c r="T24" s="18">
        <v>3.0</v>
      </c>
      <c r="U24" s="18">
        <v>3.0</v>
      </c>
      <c r="V24" s="18">
        <v>3.0</v>
      </c>
      <c r="W24" s="18">
        <v>3.0</v>
      </c>
      <c r="X24" s="18">
        <v>3.0</v>
      </c>
      <c r="Y24" s="18">
        <v>3.0</v>
      </c>
      <c r="Z24" s="18">
        <v>3.0</v>
      </c>
      <c r="AA24" s="18">
        <v>3.0</v>
      </c>
      <c r="AB24" s="18">
        <v>2.0</v>
      </c>
      <c r="AC24" s="18">
        <v>3.0</v>
      </c>
      <c r="AD24" s="18">
        <v>3.0</v>
      </c>
      <c r="AE24" s="18">
        <v>3.0</v>
      </c>
      <c r="AF24" s="18">
        <v>3.0</v>
      </c>
      <c r="AG24" s="18">
        <v>3.0</v>
      </c>
      <c r="AH24" s="18">
        <v>3.0</v>
      </c>
      <c r="AI24" s="18">
        <v>3.0</v>
      </c>
      <c r="AJ24" s="18">
        <v>2.0</v>
      </c>
      <c r="AK24" s="18">
        <v>2.0</v>
      </c>
      <c r="AL24" s="18">
        <v>2.0</v>
      </c>
      <c r="AM24" s="18">
        <v>2.0</v>
      </c>
      <c r="AN24" s="18">
        <v>2.0</v>
      </c>
      <c r="AO24" s="18">
        <v>2.0</v>
      </c>
      <c r="AP24" s="18">
        <v>2.0</v>
      </c>
      <c r="AQ24" s="18">
        <v>2.0</v>
      </c>
      <c r="AR24" s="18">
        <v>2.0</v>
      </c>
      <c r="AS24" s="18">
        <v>2.0</v>
      </c>
      <c r="AT24" s="18">
        <v>2.0</v>
      </c>
      <c r="AU24" s="18">
        <v>2.0</v>
      </c>
      <c r="AV24" s="18">
        <v>2.0</v>
      </c>
      <c r="AW24" s="18">
        <v>1.0</v>
      </c>
      <c r="AX24" s="18">
        <v>3.0</v>
      </c>
      <c r="AY24" s="18">
        <v>3.0</v>
      </c>
      <c r="AZ24" s="18">
        <v>3.0</v>
      </c>
      <c r="BA24" s="18">
        <v>3.0</v>
      </c>
      <c r="BB24" s="18">
        <v>3.0</v>
      </c>
      <c r="BC24" s="18">
        <v>3.0</v>
      </c>
      <c r="BD24" s="18">
        <v>3.0</v>
      </c>
      <c r="BE24" s="18">
        <v>3.0</v>
      </c>
      <c r="BF24" s="18">
        <v>3.0</v>
      </c>
      <c r="BG24" s="18">
        <v>3.0</v>
      </c>
      <c r="BH24" s="18">
        <v>3.0</v>
      </c>
      <c r="BI24" s="18">
        <v>3.0</v>
      </c>
      <c r="BJ24" s="18">
        <v>3.0</v>
      </c>
      <c r="BK24" s="18">
        <v>3.0</v>
      </c>
      <c r="BL24" s="18">
        <v>3.0</v>
      </c>
      <c r="BM24" s="18">
        <v>2.0</v>
      </c>
      <c r="BN24" s="18">
        <v>2.0</v>
      </c>
      <c r="BO24" s="18">
        <v>2.0</v>
      </c>
      <c r="BP24" s="18">
        <v>2.0</v>
      </c>
      <c r="BQ24" s="18">
        <v>2.0</v>
      </c>
      <c r="BR24" s="18">
        <v>2.0</v>
      </c>
      <c r="BS24" s="18">
        <v>2.0</v>
      </c>
      <c r="BT24" s="18">
        <v>2.0</v>
      </c>
      <c r="BU24" s="18">
        <v>2.0</v>
      </c>
      <c r="BV24" s="18">
        <v>2.0</v>
      </c>
      <c r="BW24" s="18">
        <v>2.0</v>
      </c>
      <c r="BX24" s="18">
        <v>2.0</v>
      </c>
      <c r="BY24" s="18">
        <v>2.0</v>
      </c>
      <c r="BZ24" s="18">
        <v>2.0</v>
      </c>
      <c r="CA24" s="18">
        <v>3.0</v>
      </c>
      <c r="CB24" s="18">
        <v>3.0</v>
      </c>
      <c r="CC24" s="18">
        <v>3.0</v>
      </c>
      <c r="CD24" s="18">
        <v>3.0</v>
      </c>
      <c r="CE24" s="18">
        <v>3.0</v>
      </c>
      <c r="CF24" s="18">
        <v>3.0</v>
      </c>
      <c r="CG24" s="18">
        <v>3.0</v>
      </c>
      <c r="CH24" s="18">
        <v>3.0</v>
      </c>
      <c r="CI24" s="18">
        <v>3.0</v>
      </c>
      <c r="CJ24" s="18">
        <v>3.0</v>
      </c>
      <c r="CK24" s="18">
        <v>3.0</v>
      </c>
      <c r="CL24" s="18">
        <v>3.0</v>
      </c>
      <c r="CM24" s="18">
        <v>3.0</v>
      </c>
      <c r="CN24" s="18">
        <v>3.0</v>
      </c>
      <c r="CO24" s="18">
        <v>3.0</v>
      </c>
      <c r="CP24" s="18">
        <v>3.0</v>
      </c>
      <c r="CQ24" s="18">
        <v>3.0</v>
      </c>
      <c r="CR24" s="18">
        <v>3.0</v>
      </c>
      <c r="CS24" s="18">
        <v>3.0</v>
      </c>
      <c r="CT24" s="18">
        <v>3.0</v>
      </c>
      <c r="CU24" s="18">
        <v>3.0</v>
      </c>
      <c r="CV24" s="18">
        <v>3.0</v>
      </c>
      <c r="CW24" s="18">
        <v>2.0</v>
      </c>
      <c r="CX24" s="18">
        <v>3.0</v>
      </c>
      <c r="CY24" s="18">
        <v>3.0</v>
      </c>
      <c r="CZ24" s="18">
        <v>2.0</v>
      </c>
      <c r="DA24" s="18">
        <v>2.0</v>
      </c>
      <c r="DB24" s="18">
        <v>3.0</v>
      </c>
      <c r="DC24" s="18">
        <v>3.0</v>
      </c>
      <c r="DD24" s="18">
        <v>3.0</v>
      </c>
      <c r="DE24" s="18">
        <v>1.0</v>
      </c>
      <c r="DF24" s="18">
        <v>1.0</v>
      </c>
      <c r="DG24" s="18">
        <v>1.0</v>
      </c>
      <c r="DH24" s="18">
        <v>1.0</v>
      </c>
      <c r="DI24" s="18">
        <v>1.0</v>
      </c>
      <c r="DJ24" s="18">
        <v>1.0</v>
      </c>
      <c r="DK24" s="18">
        <v>1.0</v>
      </c>
      <c r="DL24" s="18">
        <v>1.0</v>
      </c>
      <c r="DM24" s="18">
        <v>2.0</v>
      </c>
      <c r="DN24" s="18">
        <v>0.0</v>
      </c>
      <c r="DO24" s="18">
        <v>1.0</v>
      </c>
      <c r="DP24" s="18">
        <v>1.0</v>
      </c>
      <c r="DQ24" s="18">
        <v>1.0</v>
      </c>
      <c r="DR24" s="18">
        <v>3.0</v>
      </c>
      <c r="DS24" s="18">
        <v>2.0</v>
      </c>
      <c r="DT24" s="18">
        <v>3.0</v>
      </c>
      <c r="DU24" s="18">
        <v>2.0</v>
      </c>
      <c r="DV24" s="18">
        <v>2.0</v>
      </c>
      <c r="DW24" s="18">
        <v>2.0</v>
      </c>
      <c r="DX24" s="18">
        <v>2.0</v>
      </c>
      <c r="DY24" s="18">
        <v>2.0</v>
      </c>
      <c r="DZ24" s="18">
        <v>2.0</v>
      </c>
      <c r="EA24" s="18">
        <v>2.0</v>
      </c>
      <c r="EB24" s="18">
        <v>2.0</v>
      </c>
      <c r="EC24" s="18">
        <v>2.0</v>
      </c>
      <c r="ED24" s="18">
        <v>2.0</v>
      </c>
      <c r="EE24" s="18">
        <v>2.0</v>
      </c>
      <c r="EF24" s="18">
        <v>2.0</v>
      </c>
      <c r="EG24" s="18">
        <v>2.0</v>
      </c>
      <c r="EH24" s="18">
        <v>2.0</v>
      </c>
      <c r="EI24" s="18">
        <v>2.0</v>
      </c>
      <c r="EJ24" s="18">
        <v>2.0</v>
      </c>
      <c r="EK24" s="18">
        <v>1.0</v>
      </c>
      <c r="EL24" s="18">
        <v>2.0</v>
      </c>
      <c r="EM24" s="18">
        <v>2.0</v>
      </c>
      <c r="EN24" s="18">
        <v>3.0</v>
      </c>
      <c r="EO24" s="18">
        <v>2.0</v>
      </c>
    </row>
    <row r="25" ht="21.75" customHeight="1">
      <c r="A25" s="17" t="s">
        <v>48</v>
      </c>
      <c r="B25" s="17" t="s">
        <v>49</v>
      </c>
      <c r="C25" s="17" t="s">
        <v>203</v>
      </c>
      <c r="D25" s="17" t="s">
        <v>21</v>
      </c>
      <c r="E25" s="17" t="s">
        <v>206</v>
      </c>
      <c r="F25" s="18">
        <v>3.0</v>
      </c>
      <c r="G25" s="18">
        <v>3.0</v>
      </c>
      <c r="H25" s="18">
        <v>3.0</v>
      </c>
      <c r="I25" s="18">
        <v>3.0</v>
      </c>
      <c r="J25" s="18">
        <v>3.0</v>
      </c>
      <c r="K25" s="18">
        <v>3.0</v>
      </c>
      <c r="L25" s="18">
        <v>3.0</v>
      </c>
      <c r="M25" s="18">
        <v>3.0</v>
      </c>
      <c r="N25" s="18">
        <v>3.0</v>
      </c>
      <c r="O25" s="18">
        <v>3.0</v>
      </c>
      <c r="P25" s="18">
        <v>3.0</v>
      </c>
      <c r="Q25" s="18">
        <v>3.0</v>
      </c>
      <c r="R25" s="18">
        <v>3.0</v>
      </c>
      <c r="S25" s="18">
        <v>3.0</v>
      </c>
      <c r="T25" s="18">
        <v>3.0</v>
      </c>
      <c r="U25" s="18">
        <v>3.0</v>
      </c>
      <c r="V25" s="18">
        <v>3.0</v>
      </c>
      <c r="W25" s="18">
        <v>3.0</v>
      </c>
      <c r="X25" s="18">
        <v>3.0</v>
      </c>
      <c r="Y25" s="18">
        <v>3.0</v>
      </c>
      <c r="Z25" s="18">
        <v>3.0</v>
      </c>
      <c r="AA25" s="18">
        <v>3.0</v>
      </c>
      <c r="AB25" s="18">
        <v>2.0</v>
      </c>
      <c r="AC25" s="18">
        <v>3.0</v>
      </c>
      <c r="AD25" s="18">
        <v>3.0</v>
      </c>
      <c r="AE25" s="18">
        <v>3.0</v>
      </c>
      <c r="AF25" s="18">
        <v>3.0</v>
      </c>
      <c r="AG25" s="18">
        <v>3.0</v>
      </c>
      <c r="AH25" s="18">
        <v>3.0</v>
      </c>
      <c r="AI25" s="18">
        <v>2.0</v>
      </c>
      <c r="AJ25" s="18">
        <v>3.0</v>
      </c>
      <c r="AK25" s="18">
        <v>3.0</v>
      </c>
      <c r="AL25" s="18">
        <v>3.0</v>
      </c>
      <c r="AM25" s="18">
        <v>3.0</v>
      </c>
      <c r="AN25" s="18">
        <v>3.0</v>
      </c>
      <c r="AO25" s="18">
        <v>3.0</v>
      </c>
      <c r="AP25" s="18">
        <v>3.0</v>
      </c>
      <c r="AQ25" s="18">
        <v>3.0</v>
      </c>
      <c r="AR25" s="18">
        <v>3.0</v>
      </c>
      <c r="AS25" s="18">
        <v>3.0</v>
      </c>
      <c r="AT25" s="18">
        <v>3.0</v>
      </c>
      <c r="AU25" s="18">
        <v>3.0</v>
      </c>
      <c r="AV25" s="18">
        <v>3.0</v>
      </c>
      <c r="AW25" s="18">
        <v>3.0</v>
      </c>
      <c r="AX25" s="18">
        <v>3.0</v>
      </c>
      <c r="AY25" s="18">
        <v>3.0</v>
      </c>
      <c r="AZ25" s="18">
        <v>3.0</v>
      </c>
      <c r="BA25" s="18">
        <v>3.0</v>
      </c>
      <c r="BB25" s="18">
        <v>3.0</v>
      </c>
      <c r="BC25" s="18">
        <v>3.0</v>
      </c>
      <c r="BD25" s="18">
        <v>3.0</v>
      </c>
      <c r="BE25" s="18">
        <v>3.0</v>
      </c>
      <c r="BF25" s="18">
        <v>3.0</v>
      </c>
      <c r="BG25" s="18">
        <v>3.0</v>
      </c>
      <c r="BH25" s="18">
        <v>3.0</v>
      </c>
      <c r="BI25" s="18">
        <v>3.0</v>
      </c>
      <c r="BJ25" s="18">
        <v>3.0</v>
      </c>
      <c r="BK25" s="18">
        <v>3.0</v>
      </c>
      <c r="BL25" s="18">
        <v>3.0</v>
      </c>
      <c r="BM25" s="18">
        <v>2.0</v>
      </c>
      <c r="BN25" s="18">
        <v>2.0</v>
      </c>
      <c r="BO25" s="18">
        <v>2.0</v>
      </c>
      <c r="BP25" s="18">
        <v>2.0</v>
      </c>
      <c r="BQ25" s="18">
        <v>2.0</v>
      </c>
      <c r="BR25" s="18">
        <v>2.0</v>
      </c>
      <c r="BS25" s="18">
        <v>2.0</v>
      </c>
      <c r="BT25" s="18">
        <v>2.0</v>
      </c>
      <c r="BU25" s="18">
        <v>2.0</v>
      </c>
      <c r="BV25" s="18">
        <v>2.0</v>
      </c>
      <c r="BW25" s="18">
        <v>2.0</v>
      </c>
      <c r="BX25" s="18">
        <v>2.0</v>
      </c>
      <c r="BY25" s="18">
        <v>2.0</v>
      </c>
      <c r="BZ25" s="18">
        <v>2.0</v>
      </c>
      <c r="CA25" s="18">
        <v>3.0</v>
      </c>
      <c r="CB25" s="18">
        <v>3.0</v>
      </c>
      <c r="CC25" s="18">
        <v>3.0</v>
      </c>
      <c r="CD25" s="18">
        <v>3.0</v>
      </c>
      <c r="CE25" s="18">
        <v>3.0</v>
      </c>
      <c r="CF25" s="18">
        <v>3.0</v>
      </c>
      <c r="CG25" s="18">
        <v>3.0</v>
      </c>
      <c r="CH25" s="18">
        <v>3.0</v>
      </c>
      <c r="CI25" s="18">
        <v>3.0</v>
      </c>
      <c r="CJ25" s="18">
        <v>3.0</v>
      </c>
      <c r="CK25" s="18">
        <v>3.0</v>
      </c>
      <c r="CL25" s="18">
        <v>3.0</v>
      </c>
      <c r="CM25" s="18">
        <v>3.0</v>
      </c>
      <c r="CN25" s="18">
        <v>3.0</v>
      </c>
      <c r="CO25" s="18">
        <v>3.0</v>
      </c>
      <c r="CP25" s="18">
        <v>3.0</v>
      </c>
      <c r="CQ25" s="18">
        <v>3.0</v>
      </c>
      <c r="CR25" s="18">
        <v>3.0</v>
      </c>
      <c r="CS25" s="18">
        <v>3.0</v>
      </c>
      <c r="CT25" s="18">
        <v>3.0</v>
      </c>
      <c r="CU25" s="18">
        <v>3.0</v>
      </c>
      <c r="CV25" s="18">
        <v>3.0</v>
      </c>
      <c r="CW25" s="18">
        <v>2.0</v>
      </c>
      <c r="CX25" s="18">
        <v>3.0</v>
      </c>
      <c r="CY25" s="18">
        <v>3.0</v>
      </c>
      <c r="CZ25" s="18">
        <v>2.0</v>
      </c>
      <c r="DA25" s="18">
        <v>2.0</v>
      </c>
      <c r="DB25" s="18">
        <v>3.0</v>
      </c>
      <c r="DC25" s="18">
        <v>3.0</v>
      </c>
      <c r="DD25" s="18">
        <v>3.0</v>
      </c>
      <c r="DE25" s="18">
        <v>2.0</v>
      </c>
      <c r="DF25" s="18">
        <v>2.0</v>
      </c>
      <c r="DG25" s="18">
        <v>2.0</v>
      </c>
      <c r="DH25" s="18">
        <v>2.0</v>
      </c>
      <c r="DI25" s="18">
        <v>2.0</v>
      </c>
      <c r="DJ25" s="18">
        <v>2.0</v>
      </c>
      <c r="DK25" s="18">
        <v>2.0</v>
      </c>
      <c r="DL25" s="18">
        <v>2.0</v>
      </c>
      <c r="DM25" s="18">
        <v>3.0</v>
      </c>
      <c r="DN25" s="18">
        <v>1.0</v>
      </c>
      <c r="DO25" s="18">
        <v>2.0</v>
      </c>
      <c r="DP25" s="18">
        <v>2.0</v>
      </c>
      <c r="DQ25" s="18">
        <v>2.0</v>
      </c>
      <c r="DR25" s="18">
        <v>3.0</v>
      </c>
      <c r="DS25" s="18">
        <v>2.0</v>
      </c>
      <c r="DT25" s="18">
        <v>3.0</v>
      </c>
      <c r="DU25" s="18">
        <v>2.0</v>
      </c>
      <c r="DV25" s="18">
        <v>2.0</v>
      </c>
      <c r="DW25" s="18">
        <v>2.0</v>
      </c>
      <c r="DX25" s="18">
        <v>2.0</v>
      </c>
      <c r="DY25" s="18">
        <v>2.0</v>
      </c>
      <c r="DZ25" s="18">
        <v>2.0</v>
      </c>
      <c r="EA25" s="18">
        <v>2.0</v>
      </c>
      <c r="EB25" s="18">
        <v>2.0</v>
      </c>
      <c r="EC25" s="18">
        <v>1.0</v>
      </c>
      <c r="ED25" s="18">
        <v>1.0</v>
      </c>
      <c r="EE25" s="18">
        <v>1.0</v>
      </c>
      <c r="EF25" s="18">
        <v>1.0</v>
      </c>
      <c r="EG25" s="18">
        <v>1.0</v>
      </c>
      <c r="EH25" s="18">
        <v>1.0</v>
      </c>
      <c r="EI25" s="18">
        <v>1.0</v>
      </c>
      <c r="EJ25" s="18">
        <v>1.0</v>
      </c>
      <c r="EK25" s="18">
        <v>0.0</v>
      </c>
      <c r="EL25" s="18">
        <v>1.0</v>
      </c>
      <c r="EM25" s="18">
        <v>1.0</v>
      </c>
      <c r="EN25" s="18">
        <v>0.0</v>
      </c>
      <c r="EO25" s="18">
        <v>1.0</v>
      </c>
    </row>
    <row r="26" ht="21.75" customHeight="1">
      <c r="A26" s="17" t="s">
        <v>45</v>
      </c>
      <c r="B26" s="17" t="s">
        <v>46</v>
      </c>
      <c r="C26" s="17" t="s">
        <v>203</v>
      </c>
      <c r="D26" s="17" t="s">
        <v>21</v>
      </c>
      <c r="E26" s="17" t="s">
        <v>197</v>
      </c>
      <c r="F26" s="18">
        <v>3.0</v>
      </c>
      <c r="G26" s="18">
        <v>3.0</v>
      </c>
      <c r="H26" s="18">
        <v>3.0</v>
      </c>
      <c r="I26" s="18">
        <v>3.0</v>
      </c>
      <c r="J26" s="18">
        <v>3.0</v>
      </c>
      <c r="K26" s="18">
        <v>3.0</v>
      </c>
      <c r="L26" s="18">
        <v>3.0</v>
      </c>
      <c r="M26" s="18">
        <v>3.0</v>
      </c>
      <c r="N26" s="18">
        <v>3.0</v>
      </c>
      <c r="O26" s="18">
        <v>3.0</v>
      </c>
      <c r="P26" s="18">
        <v>3.0</v>
      </c>
      <c r="Q26" s="18">
        <v>3.0</v>
      </c>
      <c r="R26" s="18">
        <v>3.0</v>
      </c>
      <c r="S26" s="18">
        <v>3.0</v>
      </c>
      <c r="T26" s="18">
        <v>3.0</v>
      </c>
      <c r="U26" s="18">
        <v>3.0</v>
      </c>
      <c r="V26" s="18">
        <v>3.0</v>
      </c>
      <c r="W26" s="18">
        <v>3.0</v>
      </c>
      <c r="X26" s="18">
        <v>3.0</v>
      </c>
      <c r="Y26" s="18">
        <v>3.0</v>
      </c>
      <c r="Z26" s="18">
        <v>3.0</v>
      </c>
      <c r="AA26" s="18">
        <v>3.0</v>
      </c>
      <c r="AB26" s="18">
        <v>2.0</v>
      </c>
      <c r="AC26" s="18">
        <v>3.0</v>
      </c>
      <c r="AD26" s="18">
        <v>3.0</v>
      </c>
      <c r="AE26" s="18">
        <v>3.0</v>
      </c>
      <c r="AF26" s="18">
        <v>3.0</v>
      </c>
      <c r="AG26" s="18">
        <v>3.0</v>
      </c>
      <c r="AH26" s="18">
        <v>3.0</v>
      </c>
      <c r="AI26" s="18">
        <v>3.0</v>
      </c>
      <c r="AJ26" s="18">
        <v>3.0</v>
      </c>
      <c r="AK26" s="18">
        <v>3.0</v>
      </c>
      <c r="AL26" s="18">
        <v>3.0</v>
      </c>
      <c r="AM26" s="18">
        <v>3.0</v>
      </c>
      <c r="AN26" s="18">
        <v>3.0</v>
      </c>
      <c r="AO26" s="18">
        <v>3.0</v>
      </c>
      <c r="AP26" s="18">
        <v>3.0</v>
      </c>
      <c r="AQ26" s="18">
        <v>3.0</v>
      </c>
      <c r="AR26" s="18">
        <v>3.0</v>
      </c>
      <c r="AS26" s="18">
        <v>3.0</v>
      </c>
      <c r="AT26" s="18">
        <v>3.0</v>
      </c>
      <c r="AU26" s="18">
        <v>3.0</v>
      </c>
      <c r="AV26" s="18">
        <v>3.0</v>
      </c>
      <c r="AW26" s="18">
        <v>3.0</v>
      </c>
      <c r="AX26" s="18">
        <v>3.0</v>
      </c>
      <c r="AY26" s="18">
        <v>3.0</v>
      </c>
      <c r="AZ26" s="18">
        <v>3.0</v>
      </c>
      <c r="BA26" s="18">
        <v>3.0</v>
      </c>
      <c r="BB26" s="18">
        <v>3.0</v>
      </c>
      <c r="BC26" s="18">
        <v>3.0</v>
      </c>
      <c r="BD26" s="18">
        <v>3.0</v>
      </c>
      <c r="BE26" s="18">
        <v>3.0</v>
      </c>
      <c r="BF26" s="18">
        <v>3.0</v>
      </c>
      <c r="BG26" s="18">
        <v>3.0</v>
      </c>
      <c r="BH26" s="18">
        <v>3.0</v>
      </c>
      <c r="BI26" s="18">
        <v>3.0</v>
      </c>
      <c r="BJ26" s="18">
        <v>3.0</v>
      </c>
      <c r="BK26" s="18">
        <v>3.0</v>
      </c>
      <c r="BL26" s="18">
        <v>3.0</v>
      </c>
      <c r="BM26" s="18">
        <v>2.0</v>
      </c>
      <c r="BN26" s="18">
        <v>2.0</v>
      </c>
      <c r="BO26" s="18">
        <v>2.0</v>
      </c>
      <c r="BP26" s="18">
        <v>2.0</v>
      </c>
      <c r="BQ26" s="18">
        <v>2.0</v>
      </c>
      <c r="BR26" s="18">
        <v>2.0</v>
      </c>
      <c r="BS26" s="18">
        <v>2.0</v>
      </c>
      <c r="BT26" s="18">
        <v>2.0</v>
      </c>
      <c r="BU26" s="18">
        <v>2.0</v>
      </c>
      <c r="BV26" s="18">
        <v>2.0</v>
      </c>
      <c r="BW26" s="18">
        <v>2.0</v>
      </c>
      <c r="BX26" s="18">
        <v>2.0</v>
      </c>
      <c r="BY26" s="18">
        <v>2.0</v>
      </c>
      <c r="BZ26" s="18">
        <v>2.0</v>
      </c>
      <c r="CA26" s="18">
        <v>3.0</v>
      </c>
      <c r="CB26" s="18">
        <v>3.0</v>
      </c>
      <c r="CC26" s="18">
        <v>3.0</v>
      </c>
      <c r="CD26" s="18">
        <v>3.0</v>
      </c>
      <c r="CE26" s="18">
        <v>3.0</v>
      </c>
      <c r="CF26" s="18">
        <v>3.0</v>
      </c>
      <c r="CG26" s="18">
        <v>3.0</v>
      </c>
      <c r="CH26" s="18">
        <v>3.0</v>
      </c>
      <c r="CI26" s="18">
        <v>3.0</v>
      </c>
      <c r="CJ26" s="18">
        <v>3.0</v>
      </c>
      <c r="CK26" s="18">
        <v>3.0</v>
      </c>
      <c r="CL26" s="18">
        <v>3.0</v>
      </c>
      <c r="CM26" s="18">
        <v>3.0</v>
      </c>
      <c r="CN26" s="18">
        <v>3.0</v>
      </c>
      <c r="CO26" s="18">
        <v>3.0</v>
      </c>
      <c r="CP26" s="18">
        <v>3.0</v>
      </c>
      <c r="CQ26" s="18">
        <v>3.0</v>
      </c>
      <c r="CR26" s="18">
        <v>3.0</v>
      </c>
      <c r="CS26" s="18">
        <v>3.0</v>
      </c>
      <c r="CT26" s="18">
        <v>3.0</v>
      </c>
      <c r="CU26" s="18">
        <v>3.0</v>
      </c>
      <c r="CV26" s="18">
        <v>3.0</v>
      </c>
      <c r="CW26" s="18">
        <v>2.0</v>
      </c>
      <c r="CX26" s="18">
        <v>3.0</v>
      </c>
      <c r="CY26" s="18">
        <v>3.0</v>
      </c>
      <c r="CZ26" s="18">
        <v>2.0</v>
      </c>
      <c r="DA26" s="18">
        <v>2.0</v>
      </c>
      <c r="DB26" s="18">
        <v>3.0</v>
      </c>
      <c r="DC26" s="18">
        <v>3.0</v>
      </c>
      <c r="DD26" s="18">
        <v>3.0</v>
      </c>
      <c r="DE26" s="18">
        <v>2.0</v>
      </c>
      <c r="DF26" s="18">
        <v>2.0</v>
      </c>
      <c r="DG26" s="18">
        <v>2.0</v>
      </c>
      <c r="DH26" s="18">
        <v>2.0</v>
      </c>
      <c r="DI26" s="18">
        <v>2.0</v>
      </c>
      <c r="DJ26" s="18">
        <v>2.0</v>
      </c>
      <c r="DK26" s="18">
        <v>2.0</v>
      </c>
      <c r="DL26" s="18">
        <v>2.0</v>
      </c>
      <c r="DM26" s="18">
        <v>3.0</v>
      </c>
      <c r="DN26" s="18">
        <v>1.0</v>
      </c>
      <c r="DO26" s="18">
        <v>2.0</v>
      </c>
      <c r="DP26" s="18">
        <v>2.0</v>
      </c>
      <c r="DQ26" s="18">
        <v>2.0</v>
      </c>
      <c r="DR26" s="18">
        <v>3.0</v>
      </c>
      <c r="DS26" s="18">
        <v>2.0</v>
      </c>
      <c r="DT26" s="18">
        <v>3.0</v>
      </c>
      <c r="DU26" s="18">
        <v>2.0</v>
      </c>
      <c r="DV26" s="18">
        <v>2.0</v>
      </c>
      <c r="DW26" s="18">
        <v>2.0</v>
      </c>
      <c r="DX26" s="18">
        <v>2.0</v>
      </c>
      <c r="DY26" s="18">
        <v>2.0</v>
      </c>
      <c r="DZ26" s="18">
        <v>2.0</v>
      </c>
      <c r="EA26" s="18">
        <v>2.0</v>
      </c>
      <c r="EB26" s="18">
        <v>2.0</v>
      </c>
      <c r="EC26" s="18">
        <v>1.0</v>
      </c>
      <c r="ED26" s="18">
        <v>1.0</v>
      </c>
      <c r="EE26" s="18">
        <v>1.0</v>
      </c>
      <c r="EF26" s="18">
        <v>1.0</v>
      </c>
      <c r="EG26" s="18">
        <v>1.0</v>
      </c>
      <c r="EH26" s="18">
        <v>1.0</v>
      </c>
      <c r="EI26" s="18">
        <v>1.0</v>
      </c>
      <c r="EJ26" s="18">
        <v>1.0</v>
      </c>
      <c r="EK26" s="18">
        <v>0.0</v>
      </c>
      <c r="EL26" s="18">
        <v>1.0</v>
      </c>
      <c r="EM26" s="18">
        <v>1.0</v>
      </c>
      <c r="EN26" s="18">
        <v>0.0</v>
      </c>
      <c r="EO26" s="18">
        <v>1.0</v>
      </c>
    </row>
    <row r="27" ht="21.75" customHeight="1">
      <c r="A27" s="17" t="s">
        <v>229</v>
      </c>
      <c r="B27" s="17" t="s">
        <v>230</v>
      </c>
      <c r="C27" s="17" t="s">
        <v>231</v>
      </c>
      <c r="D27" s="17" t="s">
        <v>21</v>
      </c>
      <c r="E27" s="17" t="s">
        <v>197</v>
      </c>
      <c r="F27" s="18">
        <v>3.0</v>
      </c>
      <c r="G27" s="18">
        <v>3.0</v>
      </c>
      <c r="H27" s="18">
        <v>3.0</v>
      </c>
      <c r="I27" s="18">
        <v>3.0</v>
      </c>
      <c r="J27" s="18">
        <v>3.0</v>
      </c>
      <c r="K27" s="18">
        <v>3.0</v>
      </c>
      <c r="L27" s="18">
        <v>3.0</v>
      </c>
      <c r="M27" s="18">
        <v>3.0</v>
      </c>
      <c r="N27" s="18">
        <v>3.0</v>
      </c>
      <c r="O27" s="18">
        <v>3.0</v>
      </c>
      <c r="P27" s="18">
        <v>3.0</v>
      </c>
      <c r="Q27" s="18">
        <v>3.0</v>
      </c>
      <c r="R27" s="18">
        <v>3.0</v>
      </c>
      <c r="S27" s="18">
        <v>3.0</v>
      </c>
      <c r="T27" s="18">
        <v>2.0</v>
      </c>
      <c r="U27" s="18">
        <v>2.0</v>
      </c>
      <c r="V27" s="18">
        <v>2.0</v>
      </c>
      <c r="W27" s="18">
        <v>2.0</v>
      </c>
      <c r="X27" s="18">
        <v>1.0</v>
      </c>
      <c r="Y27" s="18">
        <v>2.0</v>
      </c>
      <c r="Z27" s="18">
        <v>2.0</v>
      </c>
      <c r="AA27" s="18">
        <v>2.0</v>
      </c>
      <c r="AB27" s="18">
        <v>1.0</v>
      </c>
      <c r="AC27" s="18">
        <v>2.0</v>
      </c>
      <c r="AD27" s="18">
        <v>2.0</v>
      </c>
      <c r="AE27" s="18">
        <v>2.0</v>
      </c>
      <c r="AF27" s="18">
        <v>2.0</v>
      </c>
      <c r="AG27" s="18">
        <v>2.0</v>
      </c>
      <c r="AH27" s="18">
        <v>2.0</v>
      </c>
      <c r="AI27" s="18">
        <v>0.0</v>
      </c>
      <c r="AJ27" s="18">
        <v>3.0</v>
      </c>
      <c r="AK27" s="18">
        <v>3.0</v>
      </c>
      <c r="AL27" s="18">
        <v>3.0</v>
      </c>
      <c r="AM27" s="18">
        <v>3.0</v>
      </c>
      <c r="AN27" s="18">
        <v>3.0</v>
      </c>
      <c r="AO27" s="18">
        <v>3.0</v>
      </c>
      <c r="AP27" s="18">
        <v>3.0</v>
      </c>
      <c r="AQ27" s="18">
        <v>3.0</v>
      </c>
      <c r="AR27" s="18">
        <v>3.0</v>
      </c>
      <c r="AS27" s="18">
        <v>3.0</v>
      </c>
      <c r="AT27" s="18">
        <v>3.0</v>
      </c>
      <c r="AU27" s="18">
        <v>3.0</v>
      </c>
      <c r="AV27" s="18">
        <v>3.0</v>
      </c>
      <c r="AW27" s="18">
        <v>2.0</v>
      </c>
      <c r="AX27" s="18">
        <v>3.0</v>
      </c>
      <c r="AY27" s="18">
        <v>3.0</v>
      </c>
      <c r="AZ27" s="18">
        <v>3.0</v>
      </c>
      <c r="BA27" s="18">
        <v>3.0</v>
      </c>
      <c r="BB27" s="18">
        <v>3.0</v>
      </c>
      <c r="BC27" s="18">
        <v>3.0</v>
      </c>
      <c r="BD27" s="18">
        <v>3.0</v>
      </c>
      <c r="BE27" s="18">
        <v>3.0</v>
      </c>
      <c r="BF27" s="18">
        <v>3.0</v>
      </c>
      <c r="BG27" s="18">
        <v>3.0</v>
      </c>
      <c r="BH27" s="18">
        <v>3.0</v>
      </c>
      <c r="BI27" s="18">
        <v>3.0</v>
      </c>
      <c r="BJ27" s="18">
        <v>3.0</v>
      </c>
      <c r="BK27" s="18">
        <v>3.0</v>
      </c>
      <c r="BL27" s="18">
        <v>3.0</v>
      </c>
      <c r="BM27" s="18">
        <v>3.0</v>
      </c>
      <c r="BN27" s="18">
        <v>2.0</v>
      </c>
      <c r="BO27" s="18">
        <v>2.0</v>
      </c>
      <c r="BP27" s="18">
        <v>2.0</v>
      </c>
      <c r="BQ27" s="18">
        <v>2.0</v>
      </c>
      <c r="BR27" s="18">
        <v>2.0</v>
      </c>
      <c r="BS27" s="18">
        <v>2.0</v>
      </c>
      <c r="BT27" s="18">
        <v>2.0</v>
      </c>
      <c r="BU27" s="18">
        <v>2.0</v>
      </c>
      <c r="BV27" s="18">
        <v>2.0</v>
      </c>
      <c r="BW27" s="18">
        <v>2.0</v>
      </c>
      <c r="BX27" s="18">
        <v>2.0</v>
      </c>
      <c r="BY27" s="18">
        <v>2.0</v>
      </c>
      <c r="BZ27" s="18">
        <v>2.0</v>
      </c>
      <c r="CA27" s="18">
        <v>3.0</v>
      </c>
      <c r="CB27" s="18">
        <v>3.0</v>
      </c>
      <c r="CC27" s="18">
        <v>3.0</v>
      </c>
      <c r="CD27" s="18">
        <v>3.0</v>
      </c>
      <c r="CE27" s="18">
        <v>3.0</v>
      </c>
      <c r="CF27" s="18">
        <v>3.0</v>
      </c>
      <c r="CG27" s="18">
        <v>3.0</v>
      </c>
      <c r="CH27" s="18">
        <v>3.0</v>
      </c>
      <c r="CI27" s="18">
        <v>3.0</v>
      </c>
      <c r="CJ27" s="18">
        <v>3.0</v>
      </c>
      <c r="CK27" s="18">
        <v>3.0</v>
      </c>
      <c r="CL27" s="18">
        <v>3.0</v>
      </c>
      <c r="CM27" s="18">
        <v>3.0</v>
      </c>
      <c r="CN27" s="18">
        <v>3.0</v>
      </c>
      <c r="CO27" s="18">
        <v>2.0</v>
      </c>
      <c r="CP27" s="18">
        <v>2.0</v>
      </c>
      <c r="CQ27" s="18">
        <v>2.0</v>
      </c>
      <c r="CR27" s="18">
        <v>2.0</v>
      </c>
      <c r="CS27" s="18">
        <v>2.0</v>
      </c>
      <c r="CT27" s="18">
        <v>2.0</v>
      </c>
      <c r="CU27" s="18">
        <v>2.0</v>
      </c>
      <c r="CV27" s="18">
        <v>2.0</v>
      </c>
      <c r="CW27" s="18">
        <v>1.0</v>
      </c>
      <c r="CX27" s="18">
        <v>2.0</v>
      </c>
      <c r="CY27" s="18">
        <v>2.0</v>
      </c>
      <c r="CZ27" s="18">
        <v>1.0</v>
      </c>
      <c r="DA27" s="18">
        <v>1.0</v>
      </c>
      <c r="DB27" s="18">
        <v>2.0</v>
      </c>
      <c r="DC27" s="18">
        <v>3.0</v>
      </c>
      <c r="DD27" s="18">
        <v>2.0</v>
      </c>
      <c r="DE27" s="18">
        <v>3.0</v>
      </c>
      <c r="DF27" s="18">
        <v>3.0</v>
      </c>
      <c r="DG27" s="18">
        <v>3.0</v>
      </c>
      <c r="DH27" s="18">
        <v>3.0</v>
      </c>
      <c r="DI27" s="18">
        <v>3.0</v>
      </c>
      <c r="DJ27" s="18">
        <v>3.0</v>
      </c>
      <c r="DK27" s="18">
        <v>3.0</v>
      </c>
      <c r="DL27" s="18">
        <v>3.0</v>
      </c>
      <c r="DM27" s="18">
        <v>3.0</v>
      </c>
      <c r="DN27" s="18">
        <v>2.0</v>
      </c>
      <c r="DO27" s="18">
        <v>3.0</v>
      </c>
      <c r="DP27" s="18">
        <v>3.0</v>
      </c>
      <c r="DQ27" s="18">
        <v>3.0</v>
      </c>
      <c r="DR27" s="18">
        <v>3.0</v>
      </c>
      <c r="DS27" s="18">
        <v>2.0</v>
      </c>
      <c r="DT27" s="18">
        <v>3.0</v>
      </c>
      <c r="DU27" s="18">
        <v>2.0</v>
      </c>
      <c r="DV27" s="18">
        <v>2.0</v>
      </c>
      <c r="DW27" s="18">
        <v>2.0</v>
      </c>
      <c r="DX27" s="18">
        <v>2.0</v>
      </c>
      <c r="DY27" s="18">
        <v>2.0</v>
      </c>
      <c r="DZ27" s="18">
        <v>2.0</v>
      </c>
      <c r="EA27" s="18">
        <v>2.0</v>
      </c>
      <c r="EB27" s="18">
        <v>2.0</v>
      </c>
      <c r="EC27" s="18">
        <v>1.0</v>
      </c>
      <c r="ED27" s="18">
        <v>1.0</v>
      </c>
      <c r="EE27" s="18">
        <v>1.0</v>
      </c>
      <c r="EF27" s="18">
        <v>1.0</v>
      </c>
      <c r="EG27" s="18">
        <v>1.0</v>
      </c>
      <c r="EH27" s="18">
        <v>1.0</v>
      </c>
      <c r="EI27" s="18">
        <v>1.0</v>
      </c>
      <c r="EJ27" s="18">
        <v>1.0</v>
      </c>
      <c r="EK27" s="18">
        <v>0.0</v>
      </c>
      <c r="EL27" s="18">
        <v>1.0</v>
      </c>
      <c r="EM27" s="18">
        <v>1.0</v>
      </c>
      <c r="EN27" s="18">
        <v>0.0</v>
      </c>
      <c r="EO27" s="18">
        <v>1.0</v>
      </c>
    </row>
    <row r="28" ht="21.75" customHeight="1">
      <c r="A28" s="17" t="s">
        <v>232</v>
      </c>
      <c r="B28" s="17" t="s">
        <v>233</v>
      </c>
      <c r="C28" s="17" t="s">
        <v>203</v>
      </c>
      <c r="D28" s="17" t="s">
        <v>21</v>
      </c>
      <c r="E28" s="17" t="s">
        <v>206</v>
      </c>
      <c r="F28" s="18">
        <v>3.0</v>
      </c>
      <c r="G28" s="18">
        <v>3.0</v>
      </c>
      <c r="H28" s="18">
        <v>3.0</v>
      </c>
      <c r="I28" s="18">
        <v>3.0</v>
      </c>
      <c r="J28" s="18">
        <v>3.0</v>
      </c>
      <c r="K28" s="18">
        <v>3.0</v>
      </c>
      <c r="L28" s="18">
        <v>3.0</v>
      </c>
      <c r="M28" s="18">
        <v>3.0</v>
      </c>
      <c r="N28" s="18">
        <v>3.0</v>
      </c>
      <c r="O28" s="18">
        <v>3.0</v>
      </c>
      <c r="P28" s="18">
        <v>3.0</v>
      </c>
      <c r="Q28" s="18">
        <v>3.0</v>
      </c>
      <c r="R28" s="18">
        <v>3.0</v>
      </c>
      <c r="S28" s="18">
        <v>3.0</v>
      </c>
      <c r="T28" s="18">
        <v>2.0</v>
      </c>
      <c r="U28" s="18">
        <v>2.0</v>
      </c>
      <c r="V28" s="18">
        <v>2.0</v>
      </c>
      <c r="W28" s="18">
        <v>2.0</v>
      </c>
      <c r="X28" s="18">
        <v>2.0</v>
      </c>
      <c r="Y28" s="18">
        <v>2.0</v>
      </c>
      <c r="Z28" s="18">
        <v>2.0</v>
      </c>
      <c r="AA28" s="18">
        <v>2.0</v>
      </c>
      <c r="AB28" s="18">
        <v>1.0</v>
      </c>
      <c r="AC28" s="18">
        <v>1.0</v>
      </c>
      <c r="AD28" s="18">
        <v>1.0</v>
      </c>
      <c r="AE28" s="18">
        <v>2.0</v>
      </c>
      <c r="AF28" s="18">
        <v>2.0</v>
      </c>
      <c r="AG28" s="18">
        <v>2.0</v>
      </c>
      <c r="AH28" s="18">
        <v>2.0</v>
      </c>
      <c r="AI28" s="18">
        <v>0.0</v>
      </c>
      <c r="AJ28" s="18">
        <v>3.0</v>
      </c>
      <c r="AK28" s="18">
        <v>3.0</v>
      </c>
      <c r="AL28" s="18">
        <v>3.0</v>
      </c>
      <c r="AM28" s="18">
        <v>3.0</v>
      </c>
      <c r="AN28" s="18">
        <v>3.0</v>
      </c>
      <c r="AO28" s="18">
        <v>3.0</v>
      </c>
      <c r="AP28" s="18">
        <v>3.0</v>
      </c>
      <c r="AQ28" s="18">
        <v>3.0</v>
      </c>
      <c r="AR28" s="18">
        <v>3.0</v>
      </c>
      <c r="AS28" s="18">
        <v>3.0</v>
      </c>
      <c r="AT28" s="18">
        <v>3.0</v>
      </c>
      <c r="AU28" s="18">
        <v>3.0</v>
      </c>
      <c r="AV28" s="18">
        <v>3.0</v>
      </c>
      <c r="AW28" s="18">
        <v>2.0</v>
      </c>
      <c r="AX28" s="18">
        <v>2.0</v>
      </c>
      <c r="AY28" s="18">
        <v>2.0</v>
      </c>
      <c r="AZ28" s="18">
        <v>2.0</v>
      </c>
      <c r="BA28" s="18">
        <v>2.0</v>
      </c>
      <c r="BB28" s="18">
        <v>2.0</v>
      </c>
      <c r="BC28" s="18">
        <v>2.0</v>
      </c>
      <c r="BD28" s="18">
        <v>2.0</v>
      </c>
      <c r="BE28" s="18">
        <v>2.0</v>
      </c>
      <c r="BF28" s="18">
        <v>2.0</v>
      </c>
      <c r="BG28" s="18">
        <v>2.0</v>
      </c>
      <c r="BH28" s="18">
        <v>2.0</v>
      </c>
      <c r="BI28" s="18">
        <v>2.0</v>
      </c>
      <c r="BJ28" s="18">
        <v>2.0</v>
      </c>
      <c r="BK28" s="18">
        <v>2.0</v>
      </c>
      <c r="BL28" s="18">
        <v>2.0</v>
      </c>
      <c r="BM28" s="18">
        <v>2.0</v>
      </c>
      <c r="BN28" s="18">
        <v>2.0</v>
      </c>
      <c r="BO28" s="18">
        <v>2.0</v>
      </c>
      <c r="BP28" s="18">
        <v>2.0</v>
      </c>
      <c r="BQ28" s="18">
        <v>2.0</v>
      </c>
      <c r="BR28" s="18">
        <v>0.0</v>
      </c>
      <c r="BS28" s="18">
        <v>2.0</v>
      </c>
      <c r="BT28" s="18">
        <v>2.0</v>
      </c>
      <c r="BU28" s="18">
        <v>2.0</v>
      </c>
      <c r="BV28" s="18">
        <v>2.0</v>
      </c>
      <c r="BW28" s="18">
        <v>2.0</v>
      </c>
      <c r="BX28" s="18">
        <v>2.0</v>
      </c>
      <c r="BY28" s="18">
        <v>2.0</v>
      </c>
      <c r="BZ28" s="18">
        <v>2.0</v>
      </c>
      <c r="CA28" s="18">
        <v>2.0</v>
      </c>
      <c r="CB28" s="18">
        <v>2.0</v>
      </c>
      <c r="CC28" s="18">
        <v>2.0</v>
      </c>
      <c r="CD28" s="18">
        <v>2.0</v>
      </c>
      <c r="CE28" s="18">
        <v>2.0</v>
      </c>
      <c r="CF28" s="18">
        <v>2.0</v>
      </c>
      <c r="CG28" s="18">
        <v>2.0</v>
      </c>
      <c r="CH28" s="18">
        <v>2.0</v>
      </c>
      <c r="CI28" s="18">
        <v>2.0</v>
      </c>
      <c r="CJ28" s="18">
        <v>2.0</v>
      </c>
      <c r="CK28" s="18">
        <v>2.0</v>
      </c>
      <c r="CL28" s="18">
        <v>2.0</v>
      </c>
      <c r="CM28" s="18">
        <v>2.0</v>
      </c>
      <c r="CN28" s="18">
        <v>2.0</v>
      </c>
      <c r="CO28" s="18">
        <v>2.0</v>
      </c>
      <c r="CP28" s="18">
        <v>2.0</v>
      </c>
      <c r="CQ28" s="18">
        <v>2.0</v>
      </c>
      <c r="CR28" s="18">
        <v>2.0</v>
      </c>
      <c r="CS28" s="18">
        <v>2.0</v>
      </c>
      <c r="CT28" s="18">
        <v>2.0</v>
      </c>
      <c r="CU28" s="18">
        <v>2.0</v>
      </c>
      <c r="CV28" s="18">
        <v>2.0</v>
      </c>
      <c r="CW28" s="18">
        <v>1.0</v>
      </c>
      <c r="CX28" s="18">
        <v>2.0</v>
      </c>
      <c r="CY28" s="18">
        <v>2.0</v>
      </c>
      <c r="CZ28" s="18">
        <v>1.0</v>
      </c>
      <c r="DA28" s="18">
        <v>1.0</v>
      </c>
      <c r="DB28" s="18">
        <v>2.0</v>
      </c>
      <c r="DC28" s="18">
        <v>2.0</v>
      </c>
      <c r="DD28" s="18">
        <v>2.0</v>
      </c>
      <c r="DE28" s="18">
        <v>3.0</v>
      </c>
      <c r="DF28" s="18">
        <v>3.0</v>
      </c>
      <c r="DG28" s="18">
        <v>3.0</v>
      </c>
      <c r="DH28" s="18">
        <v>3.0</v>
      </c>
      <c r="DI28" s="18">
        <v>3.0</v>
      </c>
      <c r="DJ28" s="18">
        <v>3.0</v>
      </c>
      <c r="DK28" s="18">
        <v>3.0</v>
      </c>
      <c r="DL28" s="18">
        <v>3.0</v>
      </c>
      <c r="DM28" s="18">
        <v>3.0</v>
      </c>
      <c r="DN28" s="18">
        <v>2.0</v>
      </c>
      <c r="DO28" s="18">
        <v>3.0</v>
      </c>
      <c r="DP28" s="18">
        <v>3.0</v>
      </c>
      <c r="DQ28" s="18">
        <v>3.0</v>
      </c>
      <c r="DR28" s="18">
        <v>3.0</v>
      </c>
      <c r="DS28" s="18">
        <v>2.0</v>
      </c>
      <c r="DT28" s="18">
        <v>3.0</v>
      </c>
      <c r="DU28" s="18">
        <v>2.0</v>
      </c>
      <c r="DV28" s="18">
        <v>2.0</v>
      </c>
      <c r="DW28" s="18">
        <v>2.0</v>
      </c>
      <c r="DX28" s="18">
        <v>2.0</v>
      </c>
      <c r="DY28" s="18">
        <v>2.0</v>
      </c>
      <c r="DZ28" s="18">
        <v>2.0</v>
      </c>
      <c r="EA28" s="18">
        <v>2.0</v>
      </c>
      <c r="EB28" s="18">
        <v>2.0</v>
      </c>
      <c r="EC28" s="18">
        <v>1.0</v>
      </c>
      <c r="ED28" s="18">
        <v>1.0</v>
      </c>
      <c r="EE28" s="18">
        <v>1.0</v>
      </c>
      <c r="EF28" s="18">
        <v>1.0</v>
      </c>
      <c r="EG28" s="18">
        <v>1.0</v>
      </c>
      <c r="EH28" s="18">
        <v>1.0</v>
      </c>
      <c r="EI28" s="18">
        <v>1.0</v>
      </c>
      <c r="EJ28" s="18">
        <v>1.0</v>
      </c>
      <c r="EK28" s="18">
        <v>0.0</v>
      </c>
      <c r="EL28" s="18">
        <v>1.0</v>
      </c>
      <c r="EM28" s="18">
        <v>1.0</v>
      </c>
      <c r="EN28" s="18">
        <v>0.0</v>
      </c>
      <c r="EO28" s="18">
        <v>1.0</v>
      </c>
    </row>
    <row r="29" ht="21.75" customHeight="1">
      <c r="A29" s="17" t="s">
        <v>234</v>
      </c>
      <c r="B29" s="17" t="s">
        <v>235</v>
      </c>
      <c r="C29" s="17" t="s">
        <v>236</v>
      </c>
      <c r="D29" s="17" t="s">
        <v>21</v>
      </c>
      <c r="E29" s="17" t="s">
        <v>206</v>
      </c>
      <c r="F29" s="18">
        <v>3.0</v>
      </c>
      <c r="G29" s="18">
        <v>2.0</v>
      </c>
      <c r="H29" s="18">
        <v>2.0</v>
      </c>
      <c r="I29" s="18">
        <v>2.0</v>
      </c>
      <c r="J29" s="18">
        <v>2.0</v>
      </c>
      <c r="K29" s="18">
        <v>2.0</v>
      </c>
      <c r="L29" s="18">
        <v>2.0</v>
      </c>
      <c r="M29" s="18">
        <v>2.0</v>
      </c>
      <c r="N29" s="18">
        <v>2.0</v>
      </c>
      <c r="O29" s="18">
        <v>3.0</v>
      </c>
      <c r="P29" s="18">
        <v>3.0</v>
      </c>
      <c r="Q29" s="18">
        <v>3.0</v>
      </c>
      <c r="R29" s="18">
        <v>3.0</v>
      </c>
      <c r="S29" s="18">
        <v>2.0</v>
      </c>
      <c r="T29" s="18">
        <v>2.0</v>
      </c>
      <c r="U29" s="18">
        <v>2.0</v>
      </c>
      <c r="V29" s="18">
        <v>2.0</v>
      </c>
      <c r="W29" s="18">
        <v>2.0</v>
      </c>
      <c r="X29" s="18">
        <v>2.0</v>
      </c>
      <c r="Y29" s="18">
        <v>2.0</v>
      </c>
      <c r="Z29" s="18">
        <v>2.0</v>
      </c>
      <c r="AA29" s="18">
        <v>2.0</v>
      </c>
      <c r="AB29" s="18">
        <v>1.0</v>
      </c>
      <c r="AC29" s="18">
        <v>1.0</v>
      </c>
      <c r="AD29" s="18">
        <v>2.0</v>
      </c>
      <c r="AE29" s="18">
        <v>2.0</v>
      </c>
      <c r="AF29" s="18">
        <v>2.0</v>
      </c>
      <c r="AG29" s="18">
        <v>2.0</v>
      </c>
      <c r="AH29" s="18">
        <v>2.0</v>
      </c>
      <c r="AI29" s="18">
        <v>0.0</v>
      </c>
      <c r="AJ29" s="18">
        <v>3.0</v>
      </c>
      <c r="AK29" s="18">
        <v>3.0</v>
      </c>
      <c r="AL29" s="18">
        <v>3.0</v>
      </c>
      <c r="AM29" s="18">
        <v>3.0</v>
      </c>
      <c r="AN29" s="18">
        <v>3.0</v>
      </c>
      <c r="AO29" s="18">
        <v>3.0</v>
      </c>
      <c r="AP29" s="18">
        <v>3.0</v>
      </c>
      <c r="AQ29" s="18">
        <v>3.0</v>
      </c>
      <c r="AR29" s="18">
        <v>3.0</v>
      </c>
      <c r="AS29" s="18">
        <v>3.0</v>
      </c>
      <c r="AT29" s="18">
        <v>3.0</v>
      </c>
      <c r="AU29" s="18">
        <v>3.0</v>
      </c>
      <c r="AV29" s="18">
        <v>3.0</v>
      </c>
      <c r="AW29" s="18">
        <v>2.0</v>
      </c>
      <c r="AX29" s="18">
        <v>2.0</v>
      </c>
      <c r="AY29" s="18">
        <v>2.0</v>
      </c>
      <c r="AZ29" s="18">
        <v>2.0</v>
      </c>
      <c r="BA29" s="18">
        <v>2.0</v>
      </c>
      <c r="BB29" s="18">
        <v>2.0</v>
      </c>
      <c r="BC29" s="18">
        <v>2.0</v>
      </c>
      <c r="BD29" s="18">
        <v>2.0</v>
      </c>
      <c r="BE29" s="18">
        <v>2.0</v>
      </c>
      <c r="BF29" s="18">
        <v>2.0</v>
      </c>
      <c r="BG29" s="18">
        <v>2.0</v>
      </c>
      <c r="BH29" s="18">
        <v>2.0</v>
      </c>
      <c r="BI29" s="18">
        <v>2.0</v>
      </c>
      <c r="BJ29" s="18">
        <v>2.0</v>
      </c>
      <c r="BK29" s="18">
        <v>2.0</v>
      </c>
      <c r="BL29" s="18">
        <v>2.0</v>
      </c>
      <c r="BM29" s="18">
        <v>2.0</v>
      </c>
      <c r="BN29" s="18">
        <v>2.0</v>
      </c>
      <c r="BO29" s="18">
        <v>2.0</v>
      </c>
      <c r="BP29" s="18">
        <v>2.0</v>
      </c>
      <c r="BQ29" s="18">
        <v>2.0</v>
      </c>
      <c r="BR29" s="18">
        <v>2.0</v>
      </c>
      <c r="BS29" s="18">
        <v>2.0</v>
      </c>
      <c r="BT29" s="18">
        <v>2.0</v>
      </c>
      <c r="BU29" s="18">
        <v>2.0</v>
      </c>
      <c r="BV29" s="18">
        <v>2.0</v>
      </c>
      <c r="BW29" s="18">
        <v>2.0</v>
      </c>
      <c r="BX29" s="18">
        <v>2.0</v>
      </c>
      <c r="BY29" s="18">
        <v>2.0</v>
      </c>
      <c r="BZ29" s="18">
        <v>2.0</v>
      </c>
      <c r="CA29" s="18">
        <v>2.0</v>
      </c>
      <c r="CB29" s="18">
        <v>2.0</v>
      </c>
      <c r="CC29" s="18">
        <v>2.0</v>
      </c>
      <c r="CD29" s="18">
        <v>2.0</v>
      </c>
      <c r="CE29" s="18">
        <v>2.0</v>
      </c>
      <c r="CF29" s="18">
        <v>2.0</v>
      </c>
      <c r="CG29" s="18">
        <v>2.0</v>
      </c>
      <c r="CH29" s="18">
        <v>2.0</v>
      </c>
      <c r="CI29" s="18">
        <v>2.0</v>
      </c>
      <c r="CJ29" s="18">
        <v>2.0</v>
      </c>
      <c r="CK29" s="18">
        <v>2.0</v>
      </c>
      <c r="CL29" s="18">
        <v>2.0</v>
      </c>
      <c r="CM29" s="18">
        <v>2.0</v>
      </c>
      <c r="CN29" s="18">
        <v>2.0</v>
      </c>
      <c r="CO29" s="18">
        <v>2.0</v>
      </c>
      <c r="CP29" s="18">
        <v>2.0</v>
      </c>
      <c r="CQ29" s="18">
        <v>2.0</v>
      </c>
      <c r="CR29" s="18">
        <v>2.0</v>
      </c>
      <c r="CS29" s="18">
        <v>2.0</v>
      </c>
      <c r="CT29" s="18">
        <v>2.0</v>
      </c>
      <c r="CU29" s="18">
        <v>2.0</v>
      </c>
      <c r="CV29" s="18">
        <v>2.0</v>
      </c>
      <c r="CW29" s="18">
        <v>1.0</v>
      </c>
      <c r="CX29" s="18">
        <v>2.0</v>
      </c>
      <c r="CY29" s="18">
        <v>2.0</v>
      </c>
      <c r="CZ29" s="18">
        <v>1.0</v>
      </c>
      <c r="DA29" s="18">
        <v>1.0</v>
      </c>
      <c r="DB29" s="18">
        <v>2.0</v>
      </c>
      <c r="DC29" s="18">
        <v>2.0</v>
      </c>
      <c r="DD29" s="18">
        <v>2.0</v>
      </c>
      <c r="DE29" s="18">
        <v>3.0</v>
      </c>
      <c r="DF29" s="18">
        <v>3.0</v>
      </c>
      <c r="DG29" s="18">
        <v>3.0</v>
      </c>
      <c r="DH29" s="18">
        <v>3.0</v>
      </c>
      <c r="DI29" s="18">
        <v>3.0</v>
      </c>
      <c r="DJ29" s="18">
        <v>3.0</v>
      </c>
      <c r="DK29" s="18">
        <v>3.0</v>
      </c>
      <c r="DL29" s="18">
        <v>3.0</v>
      </c>
      <c r="DM29" s="18">
        <v>3.0</v>
      </c>
      <c r="DN29" s="18">
        <v>2.0</v>
      </c>
      <c r="DO29" s="18">
        <v>3.0</v>
      </c>
      <c r="DP29" s="18">
        <v>3.0</v>
      </c>
      <c r="DQ29" s="18">
        <v>3.0</v>
      </c>
      <c r="DR29" s="18">
        <v>3.0</v>
      </c>
      <c r="DS29" s="18">
        <v>2.0</v>
      </c>
      <c r="DT29" s="18">
        <v>3.0</v>
      </c>
      <c r="DU29" s="18">
        <v>2.0</v>
      </c>
      <c r="DV29" s="18">
        <v>2.0</v>
      </c>
      <c r="DW29" s="18">
        <v>2.0</v>
      </c>
      <c r="DX29" s="18">
        <v>2.0</v>
      </c>
      <c r="DY29" s="18">
        <v>2.0</v>
      </c>
      <c r="DZ29" s="18">
        <v>2.0</v>
      </c>
      <c r="EA29" s="18">
        <v>2.0</v>
      </c>
      <c r="EB29" s="18">
        <v>2.0</v>
      </c>
      <c r="EC29" s="18">
        <v>2.0</v>
      </c>
      <c r="ED29" s="18">
        <v>2.0</v>
      </c>
      <c r="EE29" s="18">
        <v>2.0</v>
      </c>
      <c r="EF29" s="18">
        <v>2.0</v>
      </c>
      <c r="EG29" s="18">
        <v>2.0</v>
      </c>
      <c r="EH29" s="18">
        <v>2.0</v>
      </c>
      <c r="EI29" s="18">
        <v>2.0</v>
      </c>
      <c r="EJ29" s="18">
        <v>2.0</v>
      </c>
      <c r="EK29" s="18">
        <v>1.0</v>
      </c>
      <c r="EL29" s="18">
        <v>2.0</v>
      </c>
      <c r="EM29" s="18">
        <v>2.0</v>
      </c>
      <c r="EN29" s="18">
        <v>1.0</v>
      </c>
      <c r="EO29" s="18">
        <v>2.0</v>
      </c>
    </row>
    <row r="30" ht="21.75" customHeight="1">
      <c r="A30" s="17" t="s">
        <v>237</v>
      </c>
      <c r="B30" s="17" t="s">
        <v>238</v>
      </c>
      <c r="C30" s="17" t="s">
        <v>231</v>
      </c>
      <c r="D30" s="17" t="s">
        <v>21</v>
      </c>
      <c r="E30" s="17" t="s">
        <v>197</v>
      </c>
      <c r="F30" s="18">
        <v>3.0</v>
      </c>
      <c r="G30" s="18">
        <v>3.0</v>
      </c>
      <c r="H30" s="18">
        <v>3.0</v>
      </c>
      <c r="I30" s="18">
        <v>3.0</v>
      </c>
      <c r="J30" s="18">
        <v>3.0</v>
      </c>
      <c r="K30" s="18">
        <v>3.0</v>
      </c>
      <c r="L30" s="18">
        <v>3.0</v>
      </c>
      <c r="M30" s="18">
        <v>3.0</v>
      </c>
      <c r="N30" s="18">
        <v>3.0</v>
      </c>
      <c r="O30" s="18">
        <v>3.0</v>
      </c>
      <c r="P30" s="18">
        <v>3.0</v>
      </c>
      <c r="Q30" s="18">
        <v>3.0</v>
      </c>
      <c r="R30" s="18">
        <v>3.0</v>
      </c>
      <c r="S30" s="18">
        <v>3.0</v>
      </c>
      <c r="T30" s="18">
        <v>2.0</v>
      </c>
      <c r="U30" s="18">
        <v>2.0</v>
      </c>
      <c r="V30" s="18">
        <v>2.0</v>
      </c>
      <c r="W30" s="18">
        <v>2.0</v>
      </c>
      <c r="X30" s="18">
        <v>2.0</v>
      </c>
      <c r="Y30" s="18">
        <v>2.0</v>
      </c>
      <c r="Z30" s="18">
        <v>2.0</v>
      </c>
      <c r="AA30" s="18">
        <v>2.0</v>
      </c>
      <c r="AB30" s="18">
        <v>1.0</v>
      </c>
      <c r="AC30" s="18">
        <v>2.0</v>
      </c>
      <c r="AD30" s="18">
        <v>2.0</v>
      </c>
      <c r="AE30" s="18">
        <v>2.0</v>
      </c>
      <c r="AF30" s="18">
        <v>2.0</v>
      </c>
      <c r="AG30" s="18">
        <v>2.0</v>
      </c>
      <c r="AH30" s="18">
        <v>2.0</v>
      </c>
      <c r="AI30" s="18">
        <v>0.0</v>
      </c>
      <c r="AJ30" s="18">
        <v>3.0</v>
      </c>
      <c r="AK30" s="18">
        <v>3.0</v>
      </c>
      <c r="AL30" s="18">
        <v>3.0</v>
      </c>
      <c r="AM30" s="18">
        <v>3.0</v>
      </c>
      <c r="AN30" s="18">
        <v>3.0</v>
      </c>
      <c r="AO30" s="18">
        <v>3.0</v>
      </c>
      <c r="AP30" s="18">
        <v>3.0</v>
      </c>
      <c r="AQ30" s="18">
        <v>3.0</v>
      </c>
      <c r="AR30" s="18">
        <v>3.0</v>
      </c>
      <c r="AS30" s="18">
        <v>3.0</v>
      </c>
      <c r="AT30" s="18">
        <v>3.0</v>
      </c>
      <c r="AU30" s="18">
        <v>3.0</v>
      </c>
      <c r="AV30" s="18">
        <v>3.0</v>
      </c>
      <c r="AW30" s="18">
        <v>2.0</v>
      </c>
      <c r="AX30" s="18">
        <v>2.0</v>
      </c>
      <c r="AY30" s="18">
        <v>2.0</v>
      </c>
      <c r="AZ30" s="18">
        <v>2.0</v>
      </c>
      <c r="BA30" s="18">
        <v>2.0</v>
      </c>
      <c r="BB30" s="18">
        <v>2.0</v>
      </c>
      <c r="BC30" s="18">
        <v>2.0</v>
      </c>
      <c r="BD30" s="18">
        <v>2.0</v>
      </c>
      <c r="BE30" s="18">
        <v>2.0</v>
      </c>
      <c r="BF30" s="18">
        <v>2.0</v>
      </c>
      <c r="BG30" s="18">
        <v>2.0</v>
      </c>
      <c r="BH30" s="18">
        <v>2.0</v>
      </c>
      <c r="BI30" s="18">
        <v>2.0</v>
      </c>
      <c r="BJ30" s="18">
        <v>2.0</v>
      </c>
      <c r="BK30" s="18">
        <v>2.0</v>
      </c>
      <c r="BL30" s="18">
        <v>2.0</v>
      </c>
      <c r="BM30" s="18">
        <v>2.0</v>
      </c>
      <c r="BN30" s="18">
        <v>2.0</v>
      </c>
      <c r="BO30" s="18">
        <v>2.0</v>
      </c>
      <c r="BP30" s="18">
        <v>2.0</v>
      </c>
      <c r="BQ30" s="18">
        <v>2.0</v>
      </c>
      <c r="BR30" s="18">
        <v>2.0</v>
      </c>
      <c r="BS30" s="18">
        <v>2.0</v>
      </c>
      <c r="BT30" s="18">
        <v>2.0</v>
      </c>
      <c r="BU30" s="18">
        <v>2.0</v>
      </c>
      <c r="BV30" s="18">
        <v>2.0</v>
      </c>
      <c r="BW30" s="18">
        <v>2.0</v>
      </c>
      <c r="BX30" s="18">
        <v>2.0</v>
      </c>
      <c r="BY30" s="18">
        <v>2.0</v>
      </c>
      <c r="BZ30" s="18">
        <v>2.0</v>
      </c>
      <c r="CA30" s="18">
        <v>2.0</v>
      </c>
      <c r="CB30" s="18">
        <v>2.0</v>
      </c>
      <c r="CC30" s="18">
        <v>2.0</v>
      </c>
      <c r="CD30" s="18">
        <v>2.0</v>
      </c>
      <c r="CE30" s="18">
        <v>2.0</v>
      </c>
      <c r="CF30" s="18">
        <v>2.0</v>
      </c>
      <c r="CG30" s="18">
        <v>2.0</v>
      </c>
      <c r="CH30" s="18">
        <v>2.0</v>
      </c>
      <c r="CI30" s="18">
        <v>2.0</v>
      </c>
      <c r="CJ30" s="18">
        <v>2.0</v>
      </c>
      <c r="CK30" s="18">
        <v>2.0</v>
      </c>
      <c r="CL30" s="18">
        <v>2.0</v>
      </c>
      <c r="CM30" s="18">
        <v>2.0</v>
      </c>
      <c r="CN30" s="18">
        <v>2.0</v>
      </c>
      <c r="CO30" s="18">
        <v>2.0</v>
      </c>
      <c r="CP30" s="18">
        <v>2.0</v>
      </c>
      <c r="CQ30" s="18">
        <v>2.0</v>
      </c>
      <c r="CR30" s="18">
        <v>2.0</v>
      </c>
      <c r="CS30" s="18">
        <v>2.0</v>
      </c>
      <c r="CT30" s="18">
        <v>2.0</v>
      </c>
      <c r="CU30" s="18">
        <v>2.0</v>
      </c>
      <c r="CV30" s="18">
        <v>2.0</v>
      </c>
      <c r="CW30" s="18">
        <v>1.0</v>
      </c>
      <c r="CX30" s="18">
        <v>2.0</v>
      </c>
      <c r="CY30" s="18">
        <v>2.0</v>
      </c>
      <c r="CZ30" s="18">
        <v>1.0</v>
      </c>
      <c r="DA30" s="18">
        <v>1.0</v>
      </c>
      <c r="DB30" s="18">
        <v>2.0</v>
      </c>
      <c r="DC30" s="18">
        <v>3.0</v>
      </c>
      <c r="DD30" s="18">
        <v>2.0</v>
      </c>
      <c r="DE30" s="18">
        <v>2.0</v>
      </c>
      <c r="DF30" s="18">
        <v>2.0</v>
      </c>
      <c r="DG30" s="18">
        <v>2.0</v>
      </c>
      <c r="DH30" s="18">
        <v>2.0</v>
      </c>
      <c r="DI30" s="18">
        <v>2.0</v>
      </c>
      <c r="DJ30" s="18">
        <v>2.0</v>
      </c>
      <c r="DK30" s="18">
        <v>2.0</v>
      </c>
      <c r="DL30" s="18">
        <v>2.0</v>
      </c>
      <c r="DM30" s="18">
        <v>3.0</v>
      </c>
      <c r="DN30" s="18">
        <v>0.0</v>
      </c>
      <c r="DO30" s="18">
        <v>2.0</v>
      </c>
      <c r="DP30" s="18">
        <v>2.0</v>
      </c>
      <c r="DQ30" s="18">
        <v>2.0</v>
      </c>
      <c r="DR30" s="18">
        <v>3.0</v>
      </c>
      <c r="DS30" s="18">
        <v>2.0</v>
      </c>
      <c r="DT30" s="18">
        <v>3.0</v>
      </c>
      <c r="DU30" s="18">
        <v>2.0</v>
      </c>
      <c r="DV30" s="18">
        <v>2.0</v>
      </c>
      <c r="DW30" s="18">
        <v>2.0</v>
      </c>
      <c r="DX30" s="18">
        <v>2.0</v>
      </c>
      <c r="DY30" s="18">
        <v>2.0</v>
      </c>
      <c r="DZ30" s="18">
        <v>2.0</v>
      </c>
      <c r="EA30" s="18">
        <v>2.0</v>
      </c>
      <c r="EB30" s="18">
        <v>2.0</v>
      </c>
      <c r="EC30" s="18">
        <v>3.0</v>
      </c>
      <c r="ED30" s="18">
        <v>3.0</v>
      </c>
      <c r="EE30" s="18">
        <v>3.0</v>
      </c>
      <c r="EF30" s="18">
        <v>3.0</v>
      </c>
      <c r="EG30" s="18">
        <v>3.0</v>
      </c>
      <c r="EH30" s="18">
        <v>3.0</v>
      </c>
      <c r="EI30" s="18">
        <v>3.0</v>
      </c>
      <c r="EJ30" s="18">
        <v>3.0</v>
      </c>
      <c r="EK30" s="18">
        <v>2.0</v>
      </c>
      <c r="EL30" s="18">
        <v>3.0</v>
      </c>
      <c r="EM30" s="18">
        <v>3.0</v>
      </c>
      <c r="EN30" s="18">
        <v>2.0</v>
      </c>
      <c r="EO30" s="18">
        <v>3.0</v>
      </c>
    </row>
    <row r="31" ht="21.75" customHeight="1">
      <c r="A31" s="17" t="s">
        <v>239</v>
      </c>
      <c r="B31" s="17" t="s">
        <v>240</v>
      </c>
      <c r="C31" s="17" t="s">
        <v>241</v>
      </c>
      <c r="D31" s="17" t="s">
        <v>21</v>
      </c>
      <c r="E31" s="17" t="s">
        <v>197</v>
      </c>
      <c r="F31" s="18">
        <v>3.0</v>
      </c>
      <c r="G31" s="18">
        <v>3.0</v>
      </c>
      <c r="H31" s="18">
        <v>3.0</v>
      </c>
      <c r="I31" s="18">
        <v>3.0</v>
      </c>
      <c r="J31" s="18">
        <v>3.0</v>
      </c>
      <c r="K31" s="18">
        <v>3.0</v>
      </c>
      <c r="L31" s="18">
        <v>3.0</v>
      </c>
      <c r="M31" s="18">
        <v>3.0</v>
      </c>
      <c r="N31" s="18">
        <v>3.0</v>
      </c>
      <c r="O31" s="18">
        <v>3.0</v>
      </c>
      <c r="P31" s="18">
        <v>3.0</v>
      </c>
      <c r="Q31" s="18">
        <v>3.0</v>
      </c>
      <c r="R31" s="18">
        <v>3.0</v>
      </c>
      <c r="S31" s="18">
        <v>3.0</v>
      </c>
      <c r="T31" s="18">
        <v>2.0</v>
      </c>
      <c r="U31" s="18">
        <v>2.0</v>
      </c>
      <c r="V31" s="18">
        <v>2.0</v>
      </c>
      <c r="W31" s="18">
        <v>2.0</v>
      </c>
      <c r="X31" s="18">
        <v>2.0</v>
      </c>
      <c r="Y31" s="18">
        <v>2.0</v>
      </c>
      <c r="Z31" s="18">
        <v>2.0</v>
      </c>
      <c r="AA31" s="18">
        <v>2.0</v>
      </c>
      <c r="AB31" s="18">
        <v>1.0</v>
      </c>
      <c r="AC31" s="18">
        <v>2.0</v>
      </c>
      <c r="AD31" s="18">
        <v>2.0</v>
      </c>
      <c r="AE31" s="18">
        <v>2.0</v>
      </c>
      <c r="AF31" s="18">
        <v>2.0</v>
      </c>
      <c r="AG31" s="18">
        <v>2.0</v>
      </c>
      <c r="AH31" s="18">
        <v>2.0</v>
      </c>
      <c r="AI31" s="18">
        <v>1.0</v>
      </c>
      <c r="AJ31" s="18">
        <v>1.0</v>
      </c>
      <c r="AK31" s="18">
        <v>1.0</v>
      </c>
      <c r="AL31" s="18">
        <v>1.0</v>
      </c>
      <c r="AM31" s="18">
        <v>1.0</v>
      </c>
      <c r="AN31" s="18">
        <v>1.0</v>
      </c>
      <c r="AO31" s="18">
        <v>1.0</v>
      </c>
      <c r="AP31" s="18">
        <v>1.0</v>
      </c>
      <c r="AQ31" s="18">
        <v>1.0</v>
      </c>
      <c r="AR31" s="18">
        <v>1.0</v>
      </c>
      <c r="AS31" s="18">
        <v>1.0</v>
      </c>
      <c r="AT31" s="18">
        <v>1.0</v>
      </c>
      <c r="AU31" s="18">
        <v>1.0</v>
      </c>
      <c r="AV31" s="18">
        <v>1.0</v>
      </c>
      <c r="AW31" s="18">
        <v>0.0</v>
      </c>
      <c r="AX31" s="18">
        <v>2.0</v>
      </c>
      <c r="AY31" s="18">
        <v>2.0</v>
      </c>
      <c r="AZ31" s="18">
        <v>2.0</v>
      </c>
      <c r="BA31" s="18">
        <v>2.0</v>
      </c>
      <c r="BB31" s="18">
        <v>2.0</v>
      </c>
      <c r="BC31" s="18">
        <v>2.0</v>
      </c>
      <c r="BD31" s="18">
        <v>2.0</v>
      </c>
      <c r="BE31" s="18">
        <v>2.0</v>
      </c>
      <c r="BF31" s="18">
        <v>2.0</v>
      </c>
      <c r="BG31" s="18">
        <v>2.0</v>
      </c>
      <c r="BH31" s="18">
        <v>2.0</v>
      </c>
      <c r="BI31" s="18">
        <v>2.0</v>
      </c>
      <c r="BJ31" s="18">
        <v>2.0</v>
      </c>
      <c r="BK31" s="18">
        <v>2.0</v>
      </c>
      <c r="BL31" s="18">
        <v>2.0</v>
      </c>
      <c r="BM31" s="18">
        <v>3.0</v>
      </c>
      <c r="BN31" s="18">
        <v>2.0</v>
      </c>
      <c r="BO31" s="18">
        <v>2.0</v>
      </c>
      <c r="BP31" s="18">
        <v>2.0</v>
      </c>
      <c r="BQ31" s="18">
        <v>2.0</v>
      </c>
      <c r="BR31" s="18">
        <v>2.0</v>
      </c>
      <c r="BS31" s="18">
        <v>2.0</v>
      </c>
      <c r="BT31" s="18">
        <v>2.0</v>
      </c>
      <c r="BU31" s="18">
        <v>2.0</v>
      </c>
      <c r="BV31" s="18">
        <v>2.0</v>
      </c>
      <c r="BW31" s="18">
        <v>3.0</v>
      </c>
      <c r="BX31" s="18">
        <v>2.0</v>
      </c>
      <c r="BY31" s="18">
        <v>2.0</v>
      </c>
      <c r="BZ31" s="18">
        <v>2.0</v>
      </c>
      <c r="CA31" s="18">
        <v>2.0</v>
      </c>
      <c r="CB31" s="18">
        <v>2.0</v>
      </c>
      <c r="CC31" s="18">
        <v>2.0</v>
      </c>
      <c r="CD31" s="18">
        <v>2.0</v>
      </c>
      <c r="CE31" s="18">
        <v>2.0</v>
      </c>
      <c r="CF31" s="18">
        <v>2.0</v>
      </c>
      <c r="CG31" s="18">
        <v>2.0</v>
      </c>
      <c r="CH31" s="18">
        <v>2.0</v>
      </c>
      <c r="CI31" s="18">
        <v>2.0</v>
      </c>
      <c r="CJ31" s="18">
        <v>2.0</v>
      </c>
      <c r="CK31" s="18">
        <v>2.0</v>
      </c>
      <c r="CL31" s="18">
        <v>2.0</v>
      </c>
      <c r="CM31" s="18">
        <v>2.0</v>
      </c>
      <c r="CN31" s="18">
        <v>2.0</v>
      </c>
      <c r="CO31" s="18">
        <v>2.0</v>
      </c>
      <c r="CP31" s="18">
        <v>2.0</v>
      </c>
      <c r="CQ31" s="18">
        <v>2.0</v>
      </c>
      <c r="CR31" s="18">
        <v>2.0</v>
      </c>
      <c r="CS31" s="18">
        <v>2.0</v>
      </c>
      <c r="CT31" s="18">
        <v>2.0</v>
      </c>
      <c r="CU31" s="18">
        <v>2.0</v>
      </c>
      <c r="CV31" s="18">
        <v>2.0</v>
      </c>
      <c r="CW31" s="18">
        <v>1.0</v>
      </c>
      <c r="CX31" s="18">
        <v>2.0</v>
      </c>
      <c r="CY31" s="18">
        <v>2.0</v>
      </c>
      <c r="CZ31" s="18">
        <v>1.0</v>
      </c>
      <c r="DA31" s="18">
        <v>1.0</v>
      </c>
      <c r="DB31" s="18">
        <v>2.0</v>
      </c>
      <c r="DC31" s="18">
        <v>3.0</v>
      </c>
      <c r="DD31" s="18">
        <v>2.0</v>
      </c>
      <c r="DE31" s="18">
        <v>2.0</v>
      </c>
      <c r="DF31" s="18">
        <v>2.0</v>
      </c>
      <c r="DG31" s="18">
        <v>2.0</v>
      </c>
      <c r="DH31" s="18">
        <v>2.0</v>
      </c>
      <c r="DI31" s="18">
        <v>2.0</v>
      </c>
      <c r="DJ31" s="18">
        <v>2.0</v>
      </c>
      <c r="DK31" s="18">
        <v>2.0</v>
      </c>
      <c r="DL31" s="18">
        <v>2.0</v>
      </c>
      <c r="DM31" s="18">
        <v>3.0</v>
      </c>
      <c r="DN31" s="18">
        <v>1.0</v>
      </c>
      <c r="DO31" s="18">
        <v>2.0</v>
      </c>
      <c r="DP31" s="18">
        <v>2.0</v>
      </c>
      <c r="DQ31" s="18">
        <v>3.0</v>
      </c>
      <c r="DR31" s="18">
        <v>2.0</v>
      </c>
      <c r="DS31" s="18">
        <v>1.0</v>
      </c>
      <c r="DT31" s="18">
        <v>2.0</v>
      </c>
      <c r="DU31" s="18">
        <v>1.0</v>
      </c>
      <c r="DV31" s="18">
        <v>1.0</v>
      </c>
      <c r="DW31" s="18">
        <v>1.0</v>
      </c>
      <c r="DX31" s="18">
        <v>1.0</v>
      </c>
      <c r="DY31" s="18">
        <v>1.0</v>
      </c>
      <c r="DZ31" s="18">
        <v>1.0</v>
      </c>
      <c r="EA31" s="18">
        <v>1.0</v>
      </c>
      <c r="EB31" s="18">
        <v>1.0</v>
      </c>
      <c r="EC31" s="18">
        <v>0.0</v>
      </c>
      <c r="ED31" s="18">
        <v>0.0</v>
      </c>
      <c r="EE31" s="18">
        <v>0.0</v>
      </c>
      <c r="EF31" s="18">
        <v>0.0</v>
      </c>
      <c r="EG31" s="18">
        <v>0.0</v>
      </c>
      <c r="EH31" s="18">
        <v>0.0</v>
      </c>
      <c r="EI31" s="18">
        <v>0.0</v>
      </c>
      <c r="EJ31" s="18">
        <v>0.0</v>
      </c>
      <c r="EK31" s="18">
        <v>0.0</v>
      </c>
      <c r="EL31" s="18">
        <v>0.0</v>
      </c>
      <c r="EM31" s="18">
        <v>0.0</v>
      </c>
      <c r="EN31" s="18">
        <v>0.0</v>
      </c>
      <c r="EO31" s="18">
        <v>0.0</v>
      </c>
    </row>
    <row r="32" ht="21.75" customHeight="1">
      <c r="A32" s="17" t="s">
        <v>242</v>
      </c>
      <c r="B32" s="17" t="s">
        <v>243</v>
      </c>
      <c r="C32" s="17" t="s">
        <v>231</v>
      </c>
      <c r="D32" s="17" t="s">
        <v>21</v>
      </c>
      <c r="E32" s="17" t="s">
        <v>197</v>
      </c>
      <c r="F32" s="18">
        <v>3.0</v>
      </c>
      <c r="G32" s="18">
        <v>3.0</v>
      </c>
      <c r="H32" s="18">
        <v>3.0</v>
      </c>
      <c r="I32" s="18">
        <v>3.0</v>
      </c>
      <c r="J32" s="18">
        <v>3.0</v>
      </c>
      <c r="K32" s="18">
        <v>3.0</v>
      </c>
      <c r="L32" s="18">
        <v>3.0</v>
      </c>
      <c r="M32" s="18">
        <v>3.0</v>
      </c>
      <c r="N32" s="18">
        <v>3.0</v>
      </c>
      <c r="O32" s="18">
        <v>3.0</v>
      </c>
      <c r="P32" s="18">
        <v>3.0</v>
      </c>
      <c r="Q32" s="18">
        <v>3.0</v>
      </c>
      <c r="R32" s="18">
        <v>3.0</v>
      </c>
      <c r="S32" s="18">
        <v>3.0</v>
      </c>
      <c r="T32" s="18">
        <v>3.0</v>
      </c>
      <c r="U32" s="18">
        <v>3.0</v>
      </c>
      <c r="V32" s="18">
        <v>3.0</v>
      </c>
      <c r="W32" s="18">
        <v>3.0</v>
      </c>
      <c r="X32" s="18">
        <v>3.0</v>
      </c>
      <c r="Y32" s="18">
        <v>3.0</v>
      </c>
      <c r="Z32" s="18">
        <v>3.0</v>
      </c>
      <c r="AA32" s="18">
        <v>3.0</v>
      </c>
      <c r="AB32" s="18">
        <v>2.0</v>
      </c>
      <c r="AC32" s="18">
        <v>3.0</v>
      </c>
      <c r="AD32" s="18">
        <v>3.0</v>
      </c>
      <c r="AE32" s="18">
        <v>3.0</v>
      </c>
      <c r="AF32" s="18">
        <v>3.0</v>
      </c>
      <c r="AG32" s="18">
        <v>3.0</v>
      </c>
      <c r="AH32" s="18">
        <v>3.0</v>
      </c>
      <c r="AI32" s="18">
        <v>2.0</v>
      </c>
      <c r="AJ32" s="18">
        <v>3.0</v>
      </c>
      <c r="AK32" s="18">
        <v>3.0</v>
      </c>
      <c r="AL32" s="18">
        <v>3.0</v>
      </c>
      <c r="AM32" s="18">
        <v>3.0</v>
      </c>
      <c r="AN32" s="18">
        <v>3.0</v>
      </c>
      <c r="AO32" s="18">
        <v>3.0</v>
      </c>
      <c r="AP32" s="18">
        <v>3.0</v>
      </c>
      <c r="AQ32" s="18">
        <v>3.0</v>
      </c>
      <c r="AR32" s="18">
        <v>3.0</v>
      </c>
      <c r="AS32" s="18">
        <v>3.0</v>
      </c>
      <c r="AT32" s="18">
        <v>3.0</v>
      </c>
      <c r="AU32" s="18">
        <v>3.0</v>
      </c>
      <c r="AV32" s="18">
        <v>3.0</v>
      </c>
      <c r="AW32" s="18">
        <v>2.0</v>
      </c>
      <c r="AX32" s="18">
        <v>2.0</v>
      </c>
      <c r="AY32" s="18">
        <v>2.0</v>
      </c>
      <c r="AZ32" s="18">
        <v>2.0</v>
      </c>
      <c r="BA32" s="18">
        <v>2.0</v>
      </c>
      <c r="BB32" s="18">
        <v>2.0</v>
      </c>
      <c r="BC32" s="18">
        <v>2.0</v>
      </c>
      <c r="BD32" s="18">
        <v>2.0</v>
      </c>
      <c r="BE32" s="18">
        <v>2.0</v>
      </c>
      <c r="BF32" s="18">
        <v>2.0</v>
      </c>
      <c r="BG32" s="18">
        <v>2.0</v>
      </c>
      <c r="BH32" s="18">
        <v>2.0</v>
      </c>
      <c r="BI32" s="18">
        <v>2.0</v>
      </c>
      <c r="BJ32" s="18">
        <v>2.0</v>
      </c>
      <c r="BK32" s="18">
        <v>2.0</v>
      </c>
      <c r="BL32" s="18">
        <v>2.0</v>
      </c>
      <c r="BM32" s="18">
        <v>3.0</v>
      </c>
      <c r="BN32" s="18">
        <v>3.0</v>
      </c>
      <c r="BO32" s="18">
        <v>3.0</v>
      </c>
      <c r="BP32" s="18">
        <v>3.0</v>
      </c>
      <c r="BQ32" s="18">
        <v>3.0</v>
      </c>
      <c r="BR32" s="18">
        <v>3.0</v>
      </c>
      <c r="BS32" s="18">
        <v>3.0</v>
      </c>
      <c r="BT32" s="18">
        <v>3.0</v>
      </c>
      <c r="BU32" s="18">
        <v>3.0</v>
      </c>
      <c r="BV32" s="18">
        <v>3.0</v>
      </c>
      <c r="BW32" s="18">
        <v>3.0</v>
      </c>
      <c r="BX32" s="18">
        <v>3.0</v>
      </c>
      <c r="BY32" s="18">
        <v>3.0</v>
      </c>
      <c r="BZ32" s="18">
        <v>3.0</v>
      </c>
      <c r="CA32" s="18">
        <v>2.0</v>
      </c>
      <c r="CB32" s="18">
        <v>2.0</v>
      </c>
      <c r="CC32" s="18">
        <v>2.0</v>
      </c>
      <c r="CD32" s="18">
        <v>3.0</v>
      </c>
      <c r="CE32" s="18">
        <v>2.0</v>
      </c>
      <c r="CF32" s="18">
        <v>2.0</v>
      </c>
      <c r="CG32" s="18">
        <v>2.0</v>
      </c>
      <c r="CH32" s="18">
        <v>2.0</v>
      </c>
      <c r="CI32" s="18">
        <v>2.0</v>
      </c>
      <c r="CJ32" s="18">
        <v>2.0</v>
      </c>
      <c r="CK32" s="18">
        <v>2.0</v>
      </c>
      <c r="CL32" s="18">
        <v>2.0</v>
      </c>
      <c r="CM32" s="18">
        <v>2.0</v>
      </c>
      <c r="CN32" s="18">
        <v>2.0</v>
      </c>
      <c r="CO32" s="18">
        <v>3.0</v>
      </c>
      <c r="CP32" s="18">
        <v>3.0</v>
      </c>
      <c r="CQ32" s="18">
        <v>3.0</v>
      </c>
      <c r="CR32" s="18">
        <v>3.0</v>
      </c>
      <c r="CS32" s="18">
        <v>3.0</v>
      </c>
      <c r="CT32" s="18">
        <v>3.0</v>
      </c>
      <c r="CU32" s="18">
        <v>3.0</v>
      </c>
      <c r="CV32" s="18">
        <v>3.0</v>
      </c>
      <c r="CW32" s="18">
        <v>2.0</v>
      </c>
      <c r="CX32" s="18">
        <v>3.0</v>
      </c>
      <c r="CY32" s="18">
        <v>3.0</v>
      </c>
      <c r="CZ32" s="18">
        <v>2.0</v>
      </c>
      <c r="DA32" s="18">
        <v>2.0</v>
      </c>
      <c r="DB32" s="18">
        <v>3.0</v>
      </c>
      <c r="DC32" s="18">
        <v>3.0</v>
      </c>
      <c r="DD32" s="18">
        <v>3.0</v>
      </c>
      <c r="DE32" s="18">
        <v>2.0</v>
      </c>
      <c r="DF32" s="18">
        <v>2.0</v>
      </c>
      <c r="DG32" s="18">
        <v>2.0</v>
      </c>
      <c r="DH32" s="18">
        <v>2.0</v>
      </c>
      <c r="DI32" s="18">
        <v>2.0</v>
      </c>
      <c r="DJ32" s="18">
        <v>2.0</v>
      </c>
      <c r="DK32" s="18">
        <v>2.0</v>
      </c>
      <c r="DL32" s="18">
        <v>2.0</v>
      </c>
      <c r="DM32" s="18">
        <v>3.0</v>
      </c>
      <c r="DN32" s="18">
        <v>1.0</v>
      </c>
      <c r="DO32" s="18">
        <v>2.0</v>
      </c>
      <c r="DP32" s="18">
        <v>2.0</v>
      </c>
      <c r="DQ32" s="18">
        <v>2.0</v>
      </c>
      <c r="DR32" s="18">
        <v>3.0</v>
      </c>
      <c r="DS32" s="18">
        <v>2.0</v>
      </c>
      <c r="DT32" s="18">
        <v>3.0</v>
      </c>
      <c r="DU32" s="18">
        <v>2.0</v>
      </c>
      <c r="DV32" s="18">
        <v>2.0</v>
      </c>
      <c r="DW32" s="18">
        <v>2.0</v>
      </c>
      <c r="DX32" s="18">
        <v>2.0</v>
      </c>
      <c r="DY32" s="18">
        <v>2.0</v>
      </c>
      <c r="DZ32" s="18">
        <v>2.0</v>
      </c>
      <c r="EA32" s="18">
        <v>2.0</v>
      </c>
      <c r="EB32" s="18">
        <v>2.0</v>
      </c>
      <c r="EC32" s="18">
        <v>0.0</v>
      </c>
      <c r="ED32" s="18">
        <v>0.0</v>
      </c>
      <c r="EE32" s="18">
        <v>0.0</v>
      </c>
      <c r="EF32" s="18">
        <v>0.0</v>
      </c>
      <c r="EG32" s="18">
        <v>0.0</v>
      </c>
      <c r="EH32" s="18">
        <v>0.0</v>
      </c>
      <c r="EI32" s="18">
        <v>0.0</v>
      </c>
      <c r="EJ32" s="18">
        <v>0.0</v>
      </c>
      <c r="EK32" s="18">
        <v>0.0</v>
      </c>
      <c r="EL32" s="18">
        <v>0.0</v>
      </c>
      <c r="EM32" s="18">
        <v>0.0</v>
      </c>
      <c r="EN32" s="18">
        <v>0.0</v>
      </c>
      <c r="EO32" s="18">
        <v>0.0</v>
      </c>
    </row>
    <row r="33" ht="21.75" customHeight="1">
      <c r="A33" s="17" t="s">
        <v>244</v>
      </c>
      <c r="B33" s="17" t="s">
        <v>245</v>
      </c>
      <c r="C33" s="17" t="s">
        <v>231</v>
      </c>
      <c r="D33" s="17" t="s">
        <v>21</v>
      </c>
      <c r="E33" s="17" t="s">
        <v>206</v>
      </c>
      <c r="F33" s="18">
        <v>3.0</v>
      </c>
      <c r="G33" s="18">
        <v>2.0</v>
      </c>
      <c r="H33" s="18">
        <v>2.0</v>
      </c>
      <c r="I33" s="18">
        <v>2.0</v>
      </c>
      <c r="J33" s="18">
        <v>2.0</v>
      </c>
      <c r="K33" s="18">
        <v>2.0</v>
      </c>
      <c r="L33" s="18">
        <v>2.0</v>
      </c>
      <c r="M33" s="18">
        <v>2.0</v>
      </c>
      <c r="N33" s="18">
        <v>2.0</v>
      </c>
      <c r="O33" s="18">
        <v>3.0</v>
      </c>
      <c r="P33" s="18">
        <v>3.0</v>
      </c>
      <c r="Q33" s="18">
        <v>3.0</v>
      </c>
      <c r="R33" s="18">
        <v>3.0</v>
      </c>
      <c r="S33" s="18">
        <v>2.0</v>
      </c>
      <c r="T33" s="18">
        <v>2.0</v>
      </c>
      <c r="U33" s="18">
        <v>3.0</v>
      </c>
      <c r="V33" s="18">
        <v>2.0</v>
      </c>
      <c r="W33" s="18">
        <v>2.0</v>
      </c>
      <c r="X33" s="18">
        <v>2.0</v>
      </c>
      <c r="Y33" s="18">
        <v>2.0</v>
      </c>
      <c r="Z33" s="18">
        <v>2.0</v>
      </c>
      <c r="AA33" s="18">
        <v>2.0</v>
      </c>
      <c r="AB33" s="18">
        <v>1.0</v>
      </c>
      <c r="AC33" s="18">
        <v>0.0</v>
      </c>
      <c r="AD33" s="18">
        <v>2.0</v>
      </c>
      <c r="AE33" s="18">
        <v>2.0</v>
      </c>
      <c r="AF33" s="18">
        <v>2.0</v>
      </c>
      <c r="AG33" s="18">
        <v>2.0</v>
      </c>
      <c r="AH33" s="18">
        <v>2.0</v>
      </c>
      <c r="AI33" s="18">
        <v>0.0</v>
      </c>
      <c r="AJ33" s="18">
        <v>3.0</v>
      </c>
      <c r="AK33" s="18">
        <v>3.0</v>
      </c>
      <c r="AL33" s="18">
        <v>3.0</v>
      </c>
      <c r="AM33" s="18">
        <v>3.0</v>
      </c>
      <c r="AN33" s="18">
        <v>3.0</v>
      </c>
      <c r="AO33" s="18">
        <v>3.0</v>
      </c>
      <c r="AP33" s="18">
        <v>3.0</v>
      </c>
      <c r="AQ33" s="18">
        <v>3.0</v>
      </c>
      <c r="AR33" s="18">
        <v>3.0</v>
      </c>
      <c r="AS33" s="18">
        <v>3.0</v>
      </c>
      <c r="AT33" s="18">
        <v>3.0</v>
      </c>
      <c r="AU33" s="18">
        <v>3.0</v>
      </c>
      <c r="AV33" s="18">
        <v>3.0</v>
      </c>
      <c r="AW33" s="18">
        <v>2.0</v>
      </c>
      <c r="AX33" s="18">
        <v>1.0</v>
      </c>
      <c r="AY33" s="18">
        <v>1.0</v>
      </c>
      <c r="AZ33" s="18">
        <v>1.0</v>
      </c>
      <c r="BA33" s="18">
        <v>1.0</v>
      </c>
      <c r="BB33" s="18">
        <v>1.0</v>
      </c>
      <c r="BC33" s="18">
        <v>1.0</v>
      </c>
      <c r="BD33" s="18">
        <v>1.0</v>
      </c>
      <c r="BE33" s="18">
        <v>1.0</v>
      </c>
      <c r="BF33" s="18">
        <v>1.0</v>
      </c>
      <c r="BG33" s="18">
        <v>1.0</v>
      </c>
      <c r="BH33" s="18">
        <v>1.0</v>
      </c>
      <c r="BI33" s="18">
        <v>1.0</v>
      </c>
      <c r="BJ33" s="18">
        <v>1.0</v>
      </c>
      <c r="BK33" s="18">
        <v>1.0</v>
      </c>
      <c r="BL33" s="18">
        <v>1.0</v>
      </c>
      <c r="BM33" s="18">
        <v>2.0</v>
      </c>
      <c r="BN33" s="18">
        <v>2.0</v>
      </c>
      <c r="BO33" s="18">
        <v>2.0</v>
      </c>
      <c r="BP33" s="18">
        <v>2.0</v>
      </c>
      <c r="BQ33" s="18">
        <v>2.0</v>
      </c>
      <c r="BR33" s="18">
        <v>2.0</v>
      </c>
      <c r="BS33" s="18">
        <v>2.0</v>
      </c>
      <c r="BT33" s="18">
        <v>2.0</v>
      </c>
      <c r="BU33" s="18">
        <v>2.0</v>
      </c>
      <c r="BV33" s="18">
        <v>2.0</v>
      </c>
      <c r="BW33" s="18">
        <v>2.0</v>
      </c>
      <c r="BX33" s="18">
        <v>2.0</v>
      </c>
      <c r="BY33" s="18">
        <v>2.0</v>
      </c>
      <c r="BZ33" s="18">
        <v>2.0</v>
      </c>
      <c r="CA33" s="18">
        <v>1.0</v>
      </c>
      <c r="CB33" s="18">
        <v>1.0</v>
      </c>
      <c r="CC33" s="18">
        <v>1.0</v>
      </c>
      <c r="CD33" s="18">
        <v>1.0</v>
      </c>
      <c r="CE33" s="18">
        <v>1.0</v>
      </c>
      <c r="CF33" s="18">
        <v>1.0</v>
      </c>
      <c r="CG33" s="18">
        <v>1.0</v>
      </c>
      <c r="CH33" s="18">
        <v>1.0</v>
      </c>
      <c r="CI33" s="18">
        <v>1.0</v>
      </c>
      <c r="CJ33" s="18">
        <v>1.0</v>
      </c>
      <c r="CK33" s="18">
        <v>1.0</v>
      </c>
      <c r="CL33" s="18">
        <v>1.0</v>
      </c>
      <c r="CM33" s="18">
        <v>1.0</v>
      </c>
      <c r="CN33" s="18">
        <v>1.0</v>
      </c>
      <c r="CO33" s="18">
        <v>1.0</v>
      </c>
      <c r="CP33" s="18">
        <v>1.0</v>
      </c>
      <c r="CQ33" s="18">
        <v>1.0</v>
      </c>
      <c r="CR33" s="18">
        <v>1.0</v>
      </c>
      <c r="CS33" s="18">
        <v>1.0</v>
      </c>
      <c r="CT33" s="18">
        <v>1.0</v>
      </c>
      <c r="CU33" s="18">
        <v>1.0</v>
      </c>
      <c r="CV33" s="18">
        <v>1.0</v>
      </c>
      <c r="CW33" s="18">
        <v>0.0</v>
      </c>
      <c r="CX33" s="18">
        <v>1.0</v>
      </c>
      <c r="CY33" s="18">
        <v>1.0</v>
      </c>
      <c r="CZ33" s="18">
        <v>0.0</v>
      </c>
      <c r="DA33" s="18">
        <v>0.0</v>
      </c>
      <c r="DB33" s="18">
        <v>1.0</v>
      </c>
      <c r="DC33" s="18">
        <v>3.0</v>
      </c>
      <c r="DD33" s="18">
        <v>1.0</v>
      </c>
      <c r="DE33" s="18">
        <v>2.0</v>
      </c>
      <c r="DF33" s="18">
        <v>2.0</v>
      </c>
      <c r="DG33" s="18">
        <v>2.0</v>
      </c>
      <c r="DH33" s="18">
        <v>2.0</v>
      </c>
      <c r="DI33" s="18">
        <v>2.0</v>
      </c>
      <c r="DJ33" s="18">
        <v>2.0</v>
      </c>
      <c r="DK33" s="18">
        <v>2.0</v>
      </c>
      <c r="DL33" s="18">
        <v>2.0</v>
      </c>
      <c r="DM33" s="18">
        <v>3.0</v>
      </c>
      <c r="DN33" s="18">
        <v>1.0</v>
      </c>
      <c r="DO33" s="18">
        <v>2.0</v>
      </c>
      <c r="DP33" s="18">
        <v>2.0</v>
      </c>
      <c r="DQ33" s="18">
        <v>2.0</v>
      </c>
      <c r="DR33" s="18">
        <v>2.0</v>
      </c>
      <c r="DS33" s="18">
        <v>1.0</v>
      </c>
      <c r="DT33" s="18">
        <v>2.0</v>
      </c>
      <c r="DU33" s="18">
        <v>1.0</v>
      </c>
      <c r="DV33" s="18">
        <v>1.0</v>
      </c>
      <c r="DW33" s="18">
        <v>1.0</v>
      </c>
      <c r="DX33" s="18">
        <v>1.0</v>
      </c>
      <c r="DY33" s="18">
        <v>1.0</v>
      </c>
      <c r="DZ33" s="18">
        <v>1.0</v>
      </c>
      <c r="EA33" s="18">
        <v>1.0</v>
      </c>
      <c r="EB33" s="18">
        <v>1.0</v>
      </c>
      <c r="EC33" s="18">
        <v>0.0</v>
      </c>
      <c r="ED33" s="18">
        <v>0.0</v>
      </c>
      <c r="EE33" s="18">
        <v>0.0</v>
      </c>
      <c r="EF33" s="18">
        <v>0.0</v>
      </c>
      <c r="EG33" s="18">
        <v>0.0</v>
      </c>
      <c r="EH33" s="18">
        <v>0.0</v>
      </c>
      <c r="EI33" s="18">
        <v>0.0</v>
      </c>
      <c r="EJ33" s="18">
        <v>0.0</v>
      </c>
      <c r="EK33" s="18">
        <v>0.0</v>
      </c>
      <c r="EL33" s="18">
        <v>0.0</v>
      </c>
      <c r="EM33" s="18">
        <v>0.0</v>
      </c>
      <c r="EN33" s="18">
        <v>0.0</v>
      </c>
      <c r="EO33" s="18">
        <v>0.0</v>
      </c>
    </row>
    <row r="34" ht="21.75" customHeight="1">
      <c r="A34" s="17" t="s">
        <v>246</v>
      </c>
      <c r="B34" s="17" t="s">
        <v>247</v>
      </c>
      <c r="C34" s="17" t="s">
        <v>203</v>
      </c>
      <c r="D34" s="17" t="s">
        <v>21</v>
      </c>
      <c r="E34" s="17" t="s">
        <v>197</v>
      </c>
      <c r="F34" s="18">
        <v>3.0</v>
      </c>
      <c r="G34" s="18">
        <v>3.0</v>
      </c>
      <c r="H34" s="18">
        <v>3.0</v>
      </c>
      <c r="I34" s="18">
        <v>3.0</v>
      </c>
      <c r="J34" s="18">
        <v>3.0</v>
      </c>
      <c r="K34" s="18">
        <v>3.0</v>
      </c>
      <c r="L34" s="18">
        <v>3.0</v>
      </c>
      <c r="M34" s="18">
        <v>3.0</v>
      </c>
      <c r="N34" s="18">
        <v>3.0</v>
      </c>
      <c r="O34" s="18">
        <v>3.0</v>
      </c>
      <c r="P34" s="18">
        <v>3.0</v>
      </c>
      <c r="Q34" s="18">
        <v>3.0</v>
      </c>
      <c r="R34" s="18">
        <v>3.0</v>
      </c>
      <c r="S34" s="18">
        <v>3.0</v>
      </c>
      <c r="T34" s="18">
        <v>3.0</v>
      </c>
      <c r="U34" s="18">
        <v>3.0</v>
      </c>
      <c r="V34" s="18">
        <v>3.0</v>
      </c>
      <c r="W34" s="18">
        <v>3.0</v>
      </c>
      <c r="X34" s="18">
        <v>3.0</v>
      </c>
      <c r="Y34" s="18">
        <v>3.0</v>
      </c>
      <c r="Z34" s="18">
        <v>3.0</v>
      </c>
      <c r="AA34" s="18">
        <v>3.0</v>
      </c>
      <c r="AB34" s="18">
        <v>2.0</v>
      </c>
      <c r="AC34" s="18">
        <v>3.0</v>
      </c>
      <c r="AD34" s="18">
        <v>3.0</v>
      </c>
      <c r="AE34" s="18">
        <v>3.0</v>
      </c>
      <c r="AF34" s="18">
        <v>3.0</v>
      </c>
      <c r="AG34" s="18">
        <v>3.0</v>
      </c>
      <c r="AH34" s="18">
        <v>3.0</v>
      </c>
      <c r="AI34" s="18">
        <v>3.0</v>
      </c>
      <c r="AJ34" s="18">
        <v>2.0</v>
      </c>
      <c r="AK34" s="18">
        <v>2.0</v>
      </c>
      <c r="AL34" s="18">
        <v>2.0</v>
      </c>
      <c r="AM34" s="18">
        <v>2.0</v>
      </c>
      <c r="AN34" s="18">
        <v>2.0</v>
      </c>
      <c r="AO34" s="18">
        <v>2.0</v>
      </c>
      <c r="AP34" s="18">
        <v>2.0</v>
      </c>
      <c r="AQ34" s="18">
        <v>2.0</v>
      </c>
      <c r="AR34" s="18">
        <v>2.0</v>
      </c>
      <c r="AS34" s="18">
        <v>2.0</v>
      </c>
      <c r="AT34" s="18">
        <v>2.0</v>
      </c>
      <c r="AU34" s="18">
        <v>2.0</v>
      </c>
      <c r="AV34" s="18">
        <v>2.0</v>
      </c>
      <c r="AW34" s="18">
        <v>1.0</v>
      </c>
      <c r="AX34" s="18">
        <v>2.0</v>
      </c>
      <c r="AY34" s="18">
        <v>2.0</v>
      </c>
      <c r="AZ34" s="18">
        <v>2.0</v>
      </c>
      <c r="BA34" s="18">
        <v>2.0</v>
      </c>
      <c r="BB34" s="18">
        <v>2.0</v>
      </c>
      <c r="BC34" s="18">
        <v>2.0</v>
      </c>
      <c r="BD34" s="18">
        <v>2.0</v>
      </c>
      <c r="BE34" s="18">
        <v>2.0</v>
      </c>
      <c r="BF34" s="18">
        <v>2.0</v>
      </c>
      <c r="BG34" s="18">
        <v>2.0</v>
      </c>
      <c r="BH34" s="18">
        <v>2.0</v>
      </c>
      <c r="BI34" s="18">
        <v>2.0</v>
      </c>
      <c r="BJ34" s="18">
        <v>2.0</v>
      </c>
      <c r="BK34" s="18">
        <v>2.0</v>
      </c>
      <c r="BL34" s="18">
        <v>2.0</v>
      </c>
      <c r="BM34" s="18">
        <v>3.0</v>
      </c>
      <c r="BN34" s="18">
        <v>3.0</v>
      </c>
      <c r="BO34" s="18">
        <v>3.0</v>
      </c>
      <c r="BP34" s="18">
        <v>3.0</v>
      </c>
      <c r="BQ34" s="18">
        <v>3.0</v>
      </c>
      <c r="BR34" s="18">
        <v>3.0</v>
      </c>
      <c r="BS34" s="18">
        <v>3.0</v>
      </c>
      <c r="BT34" s="18">
        <v>3.0</v>
      </c>
      <c r="BU34" s="18">
        <v>3.0</v>
      </c>
      <c r="BV34" s="18">
        <v>3.0</v>
      </c>
      <c r="BW34" s="18">
        <v>3.0</v>
      </c>
      <c r="BX34" s="18">
        <v>3.0</v>
      </c>
      <c r="BY34" s="18">
        <v>3.0</v>
      </c>
      <c r="BZ34" s="18">
        <v>3.0</v>
      </c>
      <c r="CA34" s="18">
        <v>3.0</v>
      </c>
      <c r="CB34" s="18">
        <v>3.0</v>
      </c>
      <c r="CC34" s="18">
        <v>3.0</v>
      </c>
      <c r="CD34" s="18">
        <v>3.0</v>
      </c>
      <c r="CE34" s="18">
        <v>3.0</v>
      </c>
      <c r="CF34" s="18">
        <v>3.0</v>
      </c>
      <c r="CG34" s="18">
        <v>3.0</v>
      </c>
      <c r="CH34" s="18">
        <v>3.0</v>
      </c>
      <c r="CI34" s="18">
        <v>3.0</v>
      </c>
      <c r="CJ34" s="18">
        <v>3.0</v>
      </c>
      <c r="CK34" s="18">
        <v>3.0</v>
      </c>
      <c r="CL34" s="18">
        <v>3.0</v>
      </c>
      <c r="CM34" s="18">
        <v>3.0</v>
      </c>
      <c r="CN34" s="18">
        <v>3.0</v>
      </c>
      <c r="CO34" s="18">
        <v>2.0</v>
      </c>
      <c r="CP34" s="18">
        <v>2.0</v>
      </c>
      <c r="CQ34" s="18">
        <v>2.0</v>
      </c>
      <c r="CR34" s="18">
        <v>2.0</v>
      </c>
      <c r="CS34" s="18">
        <v>2.0</v>
      </c>
      <c r="CT34" s="18">
        <v>2.0</v>
      </c>
      <c r="CU34" s="18">
        <v>2.0</v>
      </c>
      <c r="CV34" s="18">
        <v>2.0</v>
      </c>
      <c r="CW34" s="18">
        <v>1.0</v>
      </c>
      <c r="CX34" s="18">
        <v>2.0</v>
      </c>
      <c r="CY34" s="18">
        <v>2.0</v>
      </c>
      <c r="CZ34" s="18">
        <v>1.0</v>
      </c>
      <c r="DA34" s="18">
        <v>1.0</v>
      </c>
      <c r="DB34" s="18">
        <v>2.0</v>
      </c>
      <c r="DC34" s="18">
        <v>2.0</v>
      </c>
      <c r="DD34" s="18">
        <v>2.0</v>
      </c>
      <c r="DE34" s="18">
        <v>1.0</v>
      </c>
      <c r="DF34" s="18">
        <v>1.0</v>
      </c>
      <c r="DG34" s="18">
        <v>1.0</v>
      </c>
      <c r="DH34" s="18">
        <v>1.0</v>
      </c>
      <c r="DI34" s="18">
        <v>1.0</v>
      </c>
      <c r="DJ34" s="18">
        <v>1.0</v>
      </c>
      <c r="DK34" s="18">
        <v>1.0</v>
      </c>
      <c r="DL34" s="18">
        <v>1.0</v>
      </c>
      <c r="DM34" s="18">
        <v>2.0</v>
      </c>
      <c r="DN34" s="18">
        <v>0.0</v>
      </c>
      <c r="DO34" s="18">
        <v>1.0</v>
      </c>
      <c r="DP34" s="18">
        <v>1.0</v>
      </c>
      <c r="DQ34" s="18">
        <v>1.0</v>
      </c>
      <c r="DR34" s="18">
        <v>3.0</v>
      </c>
      <c r="DS34" s="18">
        <v>3.0</v>
      </c>
      <c r="DT34" s="18">
        <v>3.0</v>
      </c>
      <c r="DU34" s="18">
        <v>3.0</v>
      </c>
      <c r="DV34" s="18">
        <v>3.0</v>
      </c>
      <c r="DW34" s="18">
        <v>3.0</v>
      </c>
      <c r="DX34" s="18">
        <v>3.0</v>
      </c>
      <c r="DY34" s="18">
        <v>3.0</v>
      </c>
      <c r="DZ34" s="18">
        <v>3.0</v>
      </c>
      <c r="EA34" s="18">
        <v>3.0</v>
      </c>
      <c r="EB34" s="18">
        <v>3.0</v>
      </c>
      <c r="EC34" s="18">
        <v>2.0</v>
      </c>
      <c r="ED34" s="18">
        <v>2.0</v>
      </c>
      <c r="EE34" s="18">
        <v>2.0</v>
      </c>
      <c r="EF34" s="18">
        <v>2.0</v>
      </c>
      <c r="EG34" s="18">
        <v>2.0</v>
      </c>
      <c r="EH34" s="18">
        <v>2.0</v>
      </c>
      <c r="EI34" s="18">
        <v>2.0</v>
      </c>
      <c r="EJ34" s="18">
        <v>2.0</v>
      </c>
      <c r="EK34" s="18">
        <v>1.0</v>
      </c>
      <c r="EL34" s="18">
        <v>2.0</v>
      </c>
      <c r="EM34" s="18">
        <v>2.0</v>
      </c>
      <c r="EN34" s="18">
        <v>1.0</v>
      </c>
      <c r="EO34" s="18">
        <v>2.0</v>
      </c>
    </row>
    <row r="35" ht="21.75" customHeight="1">
      <c r="A35" s="17" t="s">
        <v>248</v>
      </c>
      <c r="B35" s="17" t="s">
        <v>249</v>
      </c>
      <c r="C35" s="17" t="s">
        <v>203</v>
      </c>
      <c r="D35" s="17" t="s">
        <v>21</v>
      </c>
      <c r="E35" s="17" t="s">
        <v>197</v>
      </c>
      <c r="F35" s="18">
        <v>3.0</v>
      </c>
      <c r="G35" s="18">
        <v>3.0</v>
      </c>
      <c r="H35" s="18">
        <v>3.0</v>
      </c>
      <c r="I35" s="18">
        <v>3.0</v>
      </c>
      <c r="J35" s="18">
        <v>3.0</v>
      </c>
      <c r="K35" s="18">
        <v>3.0</v>
      </c>
      <c r="L35" s="18">
        <v>3.0</v>
      </c>
      <c r="M35" s="18">
        <v>3.0</v>
      </c>
      <c r="N35" s="18">
        <v>3.0</v>
      </c>
      <c r="O35" s="18">
        <v>3.0</v>
      </c>
      <c r="P35" s="18">
        <v>3.0</v>
      </c>
      <c r="Q35" s="18">
        <v>3.0</v>
      </c>
      <c r="R35" s="18">
        <v>3.0</v>
      </c>
      <c r="S35" s="18">
        <v>3.0</v>
      </c>
      <c r="T35" s="18">
        <v>3.0</v>
      </c>
      <c r="U35" s="18">
        <v>3.0</v>
      </c>
      <c r="V35" s="18">
        <v>3.0</v>
      </c>
      <c r="W35" s="18">
        <v>3.0</v>
      </c>
      <c r="X35" s="18">
        <v>3.0</v>
      </c>
      <c r="Y35" s="18">
        <v>3.0</v>
      </c>
      <c r="Z35" s="18">
        <v>3.0</v>
      </c>
      <c r="AA35" s="18">
        <v>3.0</v>
      </c>
      <c r="AB35" s="18">
        <v>2.0</v>
      </c>
      <c r="AC35" s="18">
        <v>3.0</v>
      </c>
      <c r="AD35" s="18">
        <v>3.0</v>
      </c>
      <c r="AE35" s="18">
        <v>3.0</v>
      </c>
      <c r="AF35" s="18">
        <v>3.0</v>
      </c>
      <c r="AG35" s="18">
        <v>3.0</v>
      </c>
      <c r="AH35" s="18">
        <v>3.0</v>
      </c>
      <c r="AI35" s="18">
        <v>2.0</v>
      </c>
      <c r="AJ35" s="18">
        <v>2.0</v>
      </c>
      <c r="AK35" s="18">
        <v>2.0</v>
      </c>
      <c r="AL35" s="18">
        <v>2.0</v>
      </c>
      <c r="AM35" s="18">
        <v>2.0</v>
      </c>
      <c r="AN35" s="18">
        <v>2.0</v>
      </c>
      <c r="AO35" s="18">
        <v>2.0</v>
      </c>
      <c r="AP35" s="18">
        <v>2.0</v>
      </c>
      <c r="AQ35" s="18">
        <v>2.0</v>
      </c>
      <c r="AR35" s="18">
        <v>2.0</v>
      </c>
      <c r="AS35" s="18">
        <v>2.0</v>
      </c>
      <c r="AT35" s="18">
        <v>2.0</v>
      </c>
      <c r="AU35" s="18">
        <v>2.0</v>
      </c>
      <c r="AV35" s="18">
        <v>2.0</v>
      </c>
      <c r="AW35" s="18">
        <v>1.0</v>
      </c>
      <c r="AX35" s="18">
        <v>2.0</v>
      </c>
      <c r="AY35" s="18">
        <v>2.0</v>
      </c>
      <c r="AZ35" s="18">
        <v>2.0</v>
      </c>
      <c r="BA35" s="18">
        <v>2.0</v>
      </c>
      <c r="BB35" s="18">
        <v>2.0</v>
      </c>
      <c r="BC35" s="18">
        <v>2.0</v>
      </c>
      <c r="BD35" s="18">
        <v>2.0</v>
      </c>
      <c r="BE35" s="18">
        <v>2.0</v>
      </c>
      <c r="BF35" s="18">
        <v>2.0</v>
      </c>
      <c r="BG35" s="18">
        <v>2.0</v>
      </c>
      <c r="BH35" s="18">
        <v>2.0</v>
      </c>
      <c r="BI35" s="18">
        <v>2.0</v>
      </c>
      <c r="BJ35" s="18">
        <v>2.0</v>
      </c>
      <c r="BK35" s="18">
        <v>2.0</v>
      </c>
      <c r="BL35" s="18">
        <v>2.0</v>
      </c>
      <c r="BM35" s="18">
        <v>2.0</v>
      </c>
      <c r="BN35" s="18">
        <v>2.0</v>
      </c>
      <c r="BO35" s="18">
        <v>2.0</v>
      </c>
      <c r="BP35" s="18">
        <v>2.0</v>
      </c>
      <c r="BQ35" s="18">
        <v>2.0</v>
      </c>
      <c r="BR35" s="18">
        <v>2.0</v>
      </c>
      <c r="BS35" s="18">
        <v>2.0</v>
      </c>
      <c r="BT35" s="18">
        <v>2.0</v>
      </c>
      <c r="BU35" s="18">
        <v>2.0</v>
      </c>
      <c r="BV35" s="18">
        <v>2.0</v>
      </c>
      <c r="BW35" s="18">
        <v>2.0</v>
      </c>
      <c r="BX35" s="18">
        <v>2.0</v>
      </c>
      <c r="BY35" s="18">
        <v>2.0</v>
      </c>
      <c r="BZ35" s="18">
        <v>2.0</v>
      </c>
      <c r="CA35" s="18">
        <v>3.0</v>
      </c>
      <c r="CB35" s="18">
        <v>3.0</v>
      </c>
      <c r="CC35" s="18">
        <v>3.0</v>
      </c>
      <c r="CD35" s="18">
        <v>3.0</v>
      </c>
      <c r="CE35" s="18">
        <v>3.0</v>
      </c>
      <c r="CF35" s="18">
        <v>3.0</v>
      </c>
      <c r="CG35" s="18">
        <v>3.0</v>
      </c>
      <c r="CH35" s="18">
        <v>3.0</v>
      </c>
      <c r="CI35" s="18">
        <v>3.0</v>
      </c>
      <c r="CJ35" s="18">
        <v>3.0</v>
      </c>
      <c r="CK35" s="18">
        <v>3.0</v>
      </c>
      <c r="CL35" s="18">
        <v>3.0</v>
      </c>
      <c r="CM35" s="18">
        <v>3.0</v>
      </c>
      <c r="CN35" s="18">
        <v>3.0</v>
      </c>
      <c r="CO35" s="18">
        <v>2.0</v>
      </c>
      <c r="CP35" s="18">
        <v>2.0</v>
      </c>
      <c r="CQ35" s="18">
        <v>2.0</v>
      </c>
      <c r="CR35" s="18">
        <v>2.0</v>
      </c>
      <c r="CS35" s="18">
        <v>2.0</v>
      </c>
      <c r="CT35" s="18">
        <v>2.0</v>
      </c>
      <c r="CU35" s="18">
        <v>2.0</v>
      </c>
      <c r="CV35" s="18">
        <v>2.0</v>
      </c>
      <c r="CW35" s="18">
        <v>1.0</v>
      </c>
      <c r="CX35" s="18">
        <v>2.0</v>
      </c>
      <c r="CY35" s="18">
        <v>2.0</v>
      </c>
      <c r="CZ35" s="18">
        <v>1.0</v>
      </c>
      <c r="DA35" s="18">
        <v>1.0</v>
      </c>
      <c r="DB35" s="18">
        <v>2.0</v>
      </c>
      <c r="DC35" s="18">
        <v>2.0</v>
      </c>
      <c r="DD35" s="18">
        <v>2.0</v>
      </c>
      <c r="DE35" s="18">
        <v>1.0</v>
      </c>
      <c r="DF35" s="18">
        <v>1.0</v>
      </c>
      <c r="DG35" s="18">
        <v>1.0</v>
      </c>
      <c r="DH35" s="18">
        <v>1.0</v>
      </c>
      <c r="DI35" s="18">
        <v>1.0</v>
      </c>
      <c r="DJ35" s="18">
        <v>1.0</v>
      </c>
      <c r="DK35" s="18">
        <v>1.0</v>
      </c>
      <c r="DL35" s="18">
        <v>1.0</v>
      </c>
      <c r="DM35" s="18">
        <v>2.0</v>
      </c>
      <c r="DN35" s="18">
        <v>0.0</v>
      </c>
      <c r="DO35" s="18">
        <v>1.0</v>
      </c>
      <c r="DP35" s="18">
        <v>1.0</v>
      </c>
      <c r="DQ35" s="18">
        <v>1.0</v>
      </c>
      <c r="DR35" s="18">
        <v>3.0</v>
      </c>
      <c r="DS35" s="18">
        <v>2.0</v>
      </c>
      <c r="DT35" s="18">
        <v>3.0</v>
      </c>
      <c r="DU35" s="18">
        <v>2.0</v>
      </c>
      <c r="DV35" s="18">
        <v>2.0</v>
      </c>
      <c r="DW35" s="18">
        <v>2.0</v>
      </c>
      <c r="DX35" s="18">
        <v>2.0</v>
      </c>
      <c r="DY35" s="18">
        <v>2.0</v>
      </c>
      <c r="DZ35" s="18">
        <v>2.0</v>
      </c>
      <c r="EA35" s="18">
        <v>2.0</v>
      </c>
      <c r="EB35" s="18">
        <v>2.0</v>
      </c>
      <c r="EC35" s="18">
        <v>1.0</v>
      </c>
      <c r="ED35" s="18">
        <v>1.0</v>
      </c>
      <c r="EE35" s="18">
        <v>1.0</v>
      </c>
      <c r="EF35" s="18">
        <v>1.0</v>
      </c>
      <c r="EG35" s="18">
        <v>1.0</v>
      </c>
      <c r="EH35" s="18">
        <v>1.0</v>
      </c>
      <c r="EI35" s="18">
        <v>1.0</v>
      </c>
      <c r="EJ35" s="18">
        <v>1.0</v>
      </c>
      <c r="EK35" s="18">
        <v>0.0</v>
      </c>
      <c r="EL35" s="18">
        <v>1.0</v>
      </c>
      <c r="EM35" s="18">
        <v>1.0</v>
      </c>
      <c r="EN35" s="18">
        <v>0.0</v>
      </c>
      <c r="EO35" s="18">
        <v>1.0</v>
      </c>
    </row>
    <row r="36" ht="21.75" customHeight="1">
      <c r="A36" s="17" t="s">
        <v>250</v>
      </c>
      <c r="B36" s="17" t="s">
        <v>251</v>
      </c>
      <c r="C36" s="17" t="s">
        <v>203</v>
      </c>
      <c r="D36" s="17" t="s">
        <v>21</v>
      </c>
      <c r="E36" s="17" t="s">
        <v>197</v>
      </c>
      <c r="F36" s="18">
        <v>3.0</v>
      </c>
      <c r="G36" s="18">
        <v>2.0</v>
      </c>
      <c r="H36" s="18">
        <v>2.0</v>
      </c>
      <c r="I36" s="18">
        <v>2.0</v>
      </c>
      <c r="J36" s="18">
        <v>2.0</v>
      </c>
      <c r="K36" s="18">
        <v>2.0</v>
      </c>
      <c r="L36" s="18">
        <v>2.0</v>
      </c>
      <c r="M36" s="18">
        <v>2.0</v>
      </c>
      <c r="N36" s="18">
        <v>2.0</v>
      </c>
      <c r="O36" s="18">
        <v>3.0</v>
      </c>
      <c r="P36" s="18">
        <v>3.0</v>
      </c>
      <c r="Q36" s="18">
        <v>3.0</v>
      </c>
      <c r="R36" s="18">
        <v>3.0</v>
      </c>
      <c r="S36" s="18">
        <v>2.0</v>
      </c>
      <c r="T36" s="18">
        <v>2.0</v>
      </c>
      <c r="U36" s="18">
        <v>2.0</v>
      </c>
      <c r="V36" s="18">
        <v>2.0</v>
      </c>
      <c r="W36" s="18">
        <v>2.0</v>
      </c>
      <c r="X36" s="18">
        <v>2.0</v>
      </c>
      <c r="Y36" s="18">
        <v>2.0</v>
      </c>
      <c r="Z36" s="18">
        <v>2.0</v>
      </c>
      <c r="AA36" s="18">
        <v>2.0</v>
      </c>
      <c r="AB36" s="18">
        <v>1.0</v>
      </c>
      <c r="AC36" s="18">
        <v>2.0</v>
      </c>
      <c r="AD36" s="18">
        <v>3.0</v>
      </c>
      <c r="AE36" s="18">
        <v>2.0</v>
      </c>
      <c r="AF36" s="18">
        <v>2.0</v>
      </c>
      <c r="AG36" s="18">
        <v>2.0</v>
      </c>
      <c r="AH36" s="18">
        <v>2.0</v>
      </c>
      <c r="AI36" s="18">
        <v>1.0</v>
      </c>
      <c r="AJ36" s="18">
        <v>1.0</v>
      </c>
      <c r="AK36" s="18">
        <v>1.0</v>
      </c>
      <c r="AL36" s="18">
        <v>1.0</v>
      </c>
      <c r="AM36" s="18">
        <v>1.0</v>
      </c>
      <c r="AN36" s="18">
        <v>1.0</v>
      </c>
      <c r="AO36" s="18">
        <v>1.0</v>
      </c>
      <c r="AP36" s="18">
        <v>1.0</v>
      </c>
      <c r="AQ36" s="18">
        <v>1.0</v>
      </c>
      <c r="AR36" s="18">
        <v>1.0</v>
      </c>
      <c r="AS36" s="18">
        <v>1.0</v>
      </c>
      <c r="AT36" s="18">
        <v>1.0</v>
      </c>
      <c r="AU36" s="18">
        <v>1.0</v>
      </c>
      <c r="AV36" s="18">
        <v>1.0</v>
      </c>
      <c r="AW36" s="18">
        <v>0.0</v>
      </c>
      <c r="AX36" s="18">
        <v>2.0</v>
      </c>
      <c r="AY36" s="18">
        <v>2.0</v>
      </c>
      <c r="AZ36" s="18">
        <v>2.0</v>
      </c>
      <c r="BA36" s="18">
        <v>2.0</v>
      </c>
      <c r="BB36" s="18">
        <v>2.0</v>
      </c>
      <c r="BC36" s="18">
        <v>2.0</v>
      </c>
      <c r="BD36" s="18">
        <v>2.0</v>
      </c>
      <c r="BE36" s="18">
        <v>2.0</v>
      </c>
      <c r="BF36" s="18">
        <v>2.0</v>
      </c>
      <c r="BG36" s="18">
        <v>2.0</v>
      </c>
      <c r="BH36" s="18">
        <v>2.0</v>
      </c>
      <c r="BI36" s="18">
        <v>2.0</v>
      </c>
      <c r="BJ36" s="18">
        <v>2.0</v>
      </c>
      <c r="BK36" s="18">
        <v>2.0</v>
      </c>
      <c r="BL36" s="18">
        <v>2.0</v>
      </c>
      <c r="BM36" s="18">
        <v>1.0</v>
      </c>
      <c r="BN36" s="18">
        <v>1.0</v>
      </c>
      <c r="BO36" s="18">
        <v>1.0</v>
      </c>
      <c r="BP36" s="18">
        <v>1.0</v>
      </c>
      <c r="BQ36" s="18">
        <v>1.0</v>
      </c>
      <c r="BR36" s="18">
        <v>1.0</v>
      </c>
      <c r="BS36" s="18">
        <v>1.0</v>
      </c>
      <c r="BT36" s="18">
        <v>1.0</v>
      </c>
      <c r="BU36" s="18">
        <v>1.0</v>
      </c>
      <c r="BV36" s="18">
        <v>1.0</v>
      </c>
      <c r="BW36" s="18">
        <v>1.0</v>
      </c>
      <c r="BX36" s="18">
        <v>1.0</v>
      </c>
      <c r="BY36" s="18">
        <v>1.0</v>
      </c>
      <c r="BZ36" s="18">
        <v>1.0</v>
      </c>
      <c r="CA36" s="18">
        <v>2.0</v>
      </c>
      <c r="CB36" s="18">
        <v>2.0</v>
      </c>
      <c r="CC36" s="18">
        <v>2.0</v>
      </c>
      <c r="CD36" s="18">
        <v>2.0</v>
      </c>
      <c r="CE36" s="18">
        <v>2.0</v>
      </c>
      <c r="CF36" s="18">
        <v>2.0</v>
      </c>
      <c r="CG36" s="18">
        <v>2.0</v>
      </c>
      <c r="CH36" s="18">
        <v>2.0</v>
      </c>
      <c r="CI36" s="18">
        <v>2.0</v>
      </c>
      <c r="CJ36" s="18">
        <v>2.0</v>
      </c>
      <c r="CK36" s="18">
        <v>2.0</v>
      </c>
      <c r="CL36" s="18">
        <v>2.0</v>
      </c>
      <c r="CM36" s="18">
        <v>2.0</v>
      </c>
      <c r="CN36" s="18">
        <v>2.0</v>
      </c>
      <c r="CO36" s="18">
        <v>1.0</v>
      </c>
      <c r="CP36" s="18">
        <v>1.0</v>
      </c>
      <c r="CQ36" s="18">
        <v>1.0</v>
      </c>
      <c r="CR36" s="18">
        <v>1.0</v>
      </c>
      <c r="CS36" s="18">
        <v>1.0</v>
      </c>
      <c r="CT36" s="18">
        <v>1.0</v>
      </c>
      <c r="CU36" s="18">
        <v>1.0</v>
      </c>
      <c r="CV36" s="18">
        <v>1.0</v>
      </c>
      <c r="CW36" s="18">
        <v>0.0</v>
      </c>
      <c r="CX36" s="18">
        <v>1.0</v>
      </c>
      <c r="CY36" s="18">
        <v>1.0</v>
      </c>
      <c r="CZ36" s="18">
        <v>0.0</v>
      </c>
      <c r="DA36" s="18">
        <v>0.0</v>
      </c>
      <c r="DB36" s="18">
        <v>1.0</v>
      </c>
      <c r="DC36" s="18">
        <v>1.0</v>
      </c>
      <c r="DD36" s="18">
        <v>1.0</v>
      </c>
      <c r="DE36" s="18">
        <v>0.0</v>
      </c>
      <c r="DF36" s="18">
        <v>0.0</v>
      </c>
      <c r="DG36" s="18">
        <v>0.0</v>
      </c>
      <c r="DH36" s="18">
        <v>0.0</v>
      </c>
      <c r="DI36" s="18">
        <v>0.0</v>
      </c>
      <c r="DJ36" s="18">
        <v>0.0</v>
      </c>
      <c r="DK36" s="18">
        <v>0.0</v>
      </c>
      <c r="DL36" s="18">
        <v>0.0</v>
      </c>
      <c r="DM36" s="18">
        <v>1.0</v>
      </c>
      <c r="DN36" s="18">
        <v>0.0</v>
      </c>
      <c r="DO36" s="18">
        <v>0.0</v>
      </c>
      <c r="DP36" s="18">
        <v>0.0</v>
      </c>
      <c r="DQ36" s="18">
        <v>0.0</v>
      </c>
      <c r="DR36" s="18">
        <v>2.0</v>
      </c>
      <c r="DS36" s="18">
        <v>1.0</v>
      </c>
      <c r="DT36" s="18">
        <v>2.0</v>
      </c>
      <c r="DU36" s="18">
        <v>1.0</v>
      </c>
      <c r="DV36" s="18">
        <v>1.0</v>
      </c>
      <c r="DW36" s="18">
        <v>1.0</v>
      </c>
      <c r="DX36" s="18">
        <v>1.0</v>
      </c>
      <c r="DY36" s="18">
        <v>1.0</v>
      </c>
      <c r="DZ36" s="18">
        <v>1.0</v>
      </c>
      <c r="EA36" s="18">
        <v>1.0</v>
      </c>
      <c r="EB36" s="18">
        <v>1.0</v>
      </c>
      <c r="EC36" s="18">
        <v>3.0</v>
      </c>
      <c r="ED36" s="18">
        <v>3.0</v>
      </c>
      <c r="EE36" s="18">
        <v>3.0</v>
      </c>
      <c r="EF36" s="18">
        <v>3.0</v>
      </c>
      <c r="EG36" s="18">
        <v>3.0</v>
      </c>
      <c r="EH36" s="18">
        <v>3.0</v>
      </c>
      <c r="EI36" s="18">
        <v>3.0</v>
      </c>
      <c r="EJ36" s="18">
        <v>3.0</v>
      </c>
      <c r="EK36" s="18">
        <v>2.0</v>
      </c>
      <c r="EL36" s="18">
        <v>3.0</v>
      </c>
      <c r="EM36" s="18">
        <v>3.0</v>
      </c>
      <c r="EN36" s="18">
        <v>2.0</v>
      </c>
      <c r="EO36" s="18">
        <v>3.0</v>
      </c>
    </row>
    <row r="37" ht="21.75" customHeight="1">
      <c r="A37" s="17" t="s">
        <v>252</v>
      </c>
      <c r="B37" s="17" t="s">
        <v>253</v>
      </c>
      <c r="C37" s="17" t="s">
        <v>203</v>
      </c>
      <c r="D37" s="17" t="s">
        <v>21</v>
      </c>
      <c r="E37" s="17" t="s">
        <v>197</v>
      </c>
      <c r="F37" s="18">
        <v>3.0</v>
      </c>
      <c r="G37" s="18">
        <v>2.0</v>
      </c>
      <c r="H37" s="18">
        <v>2.0</v>
      </c>
      <c r="I37" s="18">
        <v>2.0</v>
      </c>
      <c r="J37" s="18">
        <v>2.0</v>
      </c>
      <c r="K37" s="18">
        <v>2.0</v>
      </c>
      <c r="L37" s="18">
        <v>2.0</v>
      </c>
      <c r="M37" s="18">
        <v>2.0</v>
      </c>
      <c r="N37" s="18">
        <v>2.0</v>
      </c>
      <c r="O37" s="18">
        <v>3.0</v>
      </c>
      <c r="P37" s="18">
        <v>3.0</v>
      </c>
      <c r="Q37" s="18">
        <v>3.0</v>
      </c>
      <c r="R37" s="18">
        <v>3.0</v>
      </c>
      <c r="S37" s="18">
        <v>2.0</v>
      </c>
      <c r="T37" s="18">
        <v>2.0</v>
      </c>
      <c r="U37" s="18">
        <v>2.0</v>
      </c>
      <c r="V37" s="18">
        <v>2.0</v>
      </c>
      <c r="W37" s="18">
        <v>2.0</v>
      </c>
      <c r="X37" s="18">
        <v>2.0</v>
      </c>
      <c r="Y37" s="18">
        <v>2.0</v>
      </c>
      <c r="Z37" s="18">
        <v>2.0</v>
      </c>
      <c r="AA37" s="18">
        <v>2.0</v>
      </c>
      <c r="AB37" s="18">
        <v>1.0</v>
      </c>
      <c r="AC37" s="18">
        <v>2.0</v>
      </c>
      <c r="AD37" s="18">
        <v>2.0</v>
      </c>
      <c r="AE37" s="18">
        <v>2.0</v>
      </c>
      <c r="AF37" s="18">
        <v>2.0</v>
      </c>
      <c r="AG37" s="18">
        <v>2.0</v>
      </c>
      <c r="AH37" s="18">
        <v>2.0</v>
      </c>
      <c r="AI37" s="18">
        <v>1.0</v>
      </c>
      <c r="AJ37" s="18">
        <v>1.0</v>
      </c>
      <c r="AK37" s="18">
        <v>1.0</v>
      </c>
      <c r="AL37" s="18">
        <v>1.0</v>
      </c>
      <c r="AM37" s="18">
        <v>1.0</v>
      </c>
      <c r="AN37" s="18">
        <v>1.0</v>
      </c>
      <c r="AO37" s="18">
        <v>1.0</v>
      </c>
      <c r="AP37" s="18">
        <v>1.0</v>
      </c>
      <c r="AQ37" s="18">
        <v>1.0</v>
      </c>
      <c r="AR37" s="18">
        <v>1.0</v>
      </c>
      <c r="AS37" s="18">
        <v>1.0</v>
      </c>
      <c r="AT37" s="18">
        <v>1.0</v>
      </c>
      <c r="AU37" s="18">
        <v>1.0</v>
      </c>
      <c r="AV37" s="18">
        <v>1.0</v>
      </c>
      <c r="AW37" s="18">
        <v>0.0</v>
      </c>
      <c r="AX37" s="18">
        <v>3.0</v>
      </c>
      <c r="AY37" s="18">
        <v>3.0</v>
      </c>
      <c r="AZ37" s="18">
        <v>3.0</v>
      </c>
      <c r="BA37" s="18">
        <v>3.0</v>
      </c>
      <c r="BB37" s="18">
        <v>3.0</v>
      </c>
      <c r="BC37" s="18">
        <v>3.0</v>
      </c>
      <c r="BD37" s="18">
        <v>3.0</v>
      </c>
      <c r="BE37" s="18">
        <v>3.0</v>
      </c>
      <c r="BF37" s="18">
        <v>3.0</v>
      </c>
      <c r="BG37" s="18">
        <v>3.0</v>
      </c>
      <c r="BH37" s="18">
        <v>3.0</v>
      </c>
      <c r="BI37" s="18">
        <v>3.0</v>
      </c>
      <c r="BJ37" s="18">
        <v>3.0</v>
      </c>
      <c r="BK37" s="18">
        <v>3.0</v>
      </c>
      <c r="BL37" s="18">
        <v>3.0</v>
      </c>
      <c r="BM37" s="18">
        <v>3.0</v>
      </c>
      <c r="BN37" s="18">
        <v>3.0</v>
      </c>
      <c r="BO37" s="18">
        <v>3.0</v>
      </c>
      <c r="BP37" s="18">
        <v>3.0</v>
      </c>
      <c r="BQ37" s="18">
        <v>3.0</v>
      </c>
      <c r="BR37" s="18">
        <v>3.0</v>
      </c>
      <c r="BS37" s="18">
        <v>3.0</v>
      </c>
      <c r="BT37" s="18">
        <v>3.0</v>
      </c>
      <c r="BU37" s="18">
        <v>3.0</v>
      </c>
      <c r="BV37" s="18">
        <v>3.0</v>
      </c>
      <c r="BW37" s="18">
        <v>3.0</v>
      </c>
      <c r="BX37" s="18">
        <v>3.0</v>
      </c>
      <c r="BY37" s="18">
        <v>3.0</v>
      </c>
      <c r="BZ37" s="18">
        <v>3.0</v>
      </c>
      <c r="CA37" s="18">
        <v>2.0</v>
      </c>
      <c r="CB37" s="18">
        <v>2.0</v>
      </c>
      <c r="CC37" s="18">
        <v>2.0</v>
      </c>
      <c r="CD37" s="18">
        <v>2.0</v>
      </c>
      <c r="CE37" s="18">
        <v>2.0</v>
      </c>
      <c r="CF37" s="18">
        <v>2.0</v>
      </c>
      <c r="CG37" s="18">
        <v>2.0</v>
      </c>
      <c r="CH37" s="18">
        <v>2.0</v>
      </c>
      <c r="CI37" s="18">
        <v>2.0</v>
      </c>
      <c r="CJ37" s="18">
        <v>2.0</v>
      </c>
      <c r="CK37" s="18">
        <v>2.0</v>
      </c>
      <c r="CL37" s="18">
        <v>2.0</v>
      </c>
      <c r="CM37" s="18">
        <v>2.0</v>
      </c>
      <c r="CN37" s="18">
        <v>2.0</v>
      </c>
      <c r="CO37" s="18">
        <v>2.0</v>
      </c>
      <c r="CP37" s="18">
        <v>2.0</v>
      </c>
      <c r="CQ37" s="18">
        <v>2.0</v>
      </c>
      <c r="CR37" s="18">
        <v>2.0</v>
      </c>
      <c r="CS37" s="18">
        <v>2.0</v>
      </c>
      <c r="CT37" s="18">
        <v>2.0</v>
      </c>
      <c r="CU37" s="18">
        <v>2.0</v>
      </c>
      <c r="CV37" s="18">
        <v>2.0</v>
      </c>
      <c r="CW37" s="18">
        <v>1.0</v>
      </c>
      <c r="CX37" s="18">
        <v>2.0</v>
      </c>
      <c r="CY37" s="18">
        <v>2.0</v>
      </c>
      <c r="CZ37" s="18">
        <v>1.0</v>
      </c>
      <c r="DA37" s="18">
        <v>1.0</v>
      </c>
      <c r="DB37" s="18">
        <v>2.0</v>
      </c>
      <c r="DC37" s="18">
        <v>2.0</v>
      </c>
      <c r="DD37" s="18">
        <v>2.0</v>
      </c>
      <c r="DE37" s="18">
        <v>1.0</v>
      </c>
      <c r="DF37" s="18">
        <v>1.0</v>
      </c>
      <c r="DG37" s="18">
        <v>1.0</v>
      </c>
      <c r="DH37" s="18">
        <v>1.0</v>
      </c>
      <c r="DI37" s="18">
        <v>1.0</v>
      </c>
      <c r="DJ37" s="18">
        <v>1.0</v>
      </c>
      <c r="DK37" s="18">
        <v>1.0</v>
      </c>
      <c r="DL37" s="18">
        <v>1.0</v>
      </c>
      <c r="DM37" s="18">
        <v>2.0</v>
      </c>
      <c r="DN37" s="18">
        <v>0.0</v>
      </c>
      <c r="DO37" s="18">
        <v>1.0</v>
      </c>
      <c r="DP37" s="18">
        <v>1.0</v>
      </c>
      <c r="DQ37" s="18">
        <v>0.0</v>
      </c>
      <c r="DR37" s="18">
        <v>3.0</v>
      </c>
      <c r="DS37" s="18">
        <v>2.0</v>
      </c>
      <c r="DT37" s="18">
        <v>3.0</v>
      </c>
      <c r="DU37" s="18">
        <v>2.0</v>
      </c>
      <c r="DV37" s="18">
        <v>2.0</v>
      </c>
      <c r="DW37" s="18">
        <v>2.0</v>
      </c>
      <c r="DX37" s="18">
        <v>2.0</v>
      </c>
      <c r="DY37" s="18">
        <v>2.0</v>
      </c>
      <c r="DZ37" s="18">
        <v>2.0</v>
      </c>
      <c r="EA37" s="18">
        <v>2.0</v>
      </c>
      <c r="EB37" s="18">
        <v>2.0</v>
      </c>
      <c r="EC37" s="18">
        <v>3.0</v>
      </c>
      <c r="ED37" s="18">
        <v>3.0</v>
      </c>
      <c r="EE37" s="18">
        <v>3.0</v>
      </c>
      <c r="EF37" s="18">
        <v>3.0</v>
      </c>
      <c r="EG37" s="18">
        <v>3.0</v>
      </c>
      <c r="EH37" s="18">
        <v>3.0</v>
      </c>
      <c r="EI37" s="18">
        <v>3.0</v>
      </c>
      <c r="EJ37" s="18">
        <v>3.0</v>
      </c>
      <c r="EK37" s="18">
        <v>3.0</v>
      </c>
      <c r="EL37" s="18">
        <v>3.0</v>
      </c>
      <c r="EM37" s="18">
        <v>3.0</v>
      </c>
      <c r="EN37" s="18">
        <v>2.0</v>
      </c>
      <c r="EO37" s="18">
        <v>3.0</v>
      </c>
    </row>
    <row r="38" ht="21.75" customHeight="1">
      <c r="A38" s="17" t="s">
        <v>36</v>
      </c>
      <c r="B38" s="17" t="s">
        <v>37</v>
      </c>
      <c r="C38" s="17" t="s">
        <v>203</v>
      </c>
      <c r="D38" s="17" t="s">
        <v>21</v>
      </c>
      <c r="E38" s="17" t="s">
        <v>197</v>
      </c>
      <c r="F38" s="18">
        <v>3.0</v>
      </c>
      <c r="G38" s="18">
        <v>3.0</v>
      </c>
      <c r="H38" s="18">
        <v>3.0</v>
      </c>
      <c r="I38" s="18">
        <v>3.0</v>
      </c>
      <c r="J38" s="18">
        <v>3.0</v>
      </c>
      <c r="K38" s="18">
        <v>3.0</v>
      </c>
      <c r="L38" s="18">
        <v>3.0</v>
      </c>
      <c r="M38" s="18">
        <v>3.0</v>
      </c>
      <c r="N38" s="18">
        <v>3.0</v>
      </c>
      <c r="O38" s="18">
        <v>3.0</v>
      </c>
      <c r="P38" s="18">
        <v>3.0</v>
      </c>
      <c r="Q38" s="18">
        <v>3.0</v>
      </c>
      <c r="R38" s="18">
        <v>3.0</v>
      </c>
      <c r="S38" s="18">
        <v>3.0</v>
      </c>
      <c r="T38" s="18">
        <v>3.0</v>
      </c>
      <c r="U38" s="18">
        <v>3.0</v>
      </c>
      <c r="V38" s="18">
        <v>3.0</v>
      </c>
      <c r="W38" s="18">
        <v>3.0</v>
      </c>
      <c r="X38" s="18">
        <v>3.0</v>
      </c>
      <c r="Y38" s="18">
        <v>3.0</v>
      </c>
      <c r="Z38" s="18">
        <v>3.0</v>
      </c>
      <c r="AA38" s="18">
        <v>3.0</v>
      </c>
      <c r="AB38" s="18">
        <v>2.0</v>
      </c>
      <c r="AC38" s="18">
        <v>3.0</v>
      </c>
      <c r="AD38" s="18">
        <v>3.0</v>
      </c>
      <c r="AE38" s="18">
        <v>3.0</v>
      </c>
      <c r="AF38" s="18">
        <v>3.0</v>
      </c>
      <c r="AG38" s="18">
        <v>3.0</v>
      </c>
      <c r="AH38" s="18">
        <v>3.0</v>
      </c>
      <c r="AI38" s="18">
        <v>2.0</v>
      </c>
      <c r="AJ38" s="18">
        <v>2.0</v>
      </c>
      <c r="AK38" s="18">
        <v>2.0</v>
      </c>
      <c r="AL38" s="18">
        <v>2.0</v>
      </c>
      <c r="AM38" s="18">
        <v>2.0</v>
      </c>
      <c r="AN38" s="18">
        <v>2.0</v>
      </c>
      <c r="AO38" s="18">
        <v>2.0</v>
      </c>
      <c r="AP38" s="18">
        <v>2.0</v>
      </c>
      <c r="AQ38" s="18">
        <v>2.0</v>
      </c>
      <c r="AR38" s="18">
        <v>2.0</v>
      </c>
      <c r="AS38" s="18">
        <v>2.0</v>
      </c>
      <c r="AT38" s="18">
        <v>2.0</v>
      </c>
      <c r="AU38" s="18">
        <v>2.0</v>
      </c>
      <c r="AV38" s="18">
        <v>2.0</v>
      </c>
      <c r="AW38" s="18">
        <v>1.0</v>
      </c>
      <c r="AX38" s="18">
        <v>3.0</v>
      </c>
      <c r="AY38" s="18">
        <v>3.0</v>
      </c>
      <c r="AZ38" s="18">
        <v>3.0</v>
      </c>
      <c r="BA38" s="18">
        <v>3.0</v>
      </c>
      <c r="BB38" s="18">
        <v>3.0</v>
      </c>
      <c r="BC38" s="18">
        <v>3.0</v>
      </c>
      <c r="BD38" s="18">
        <v>3.0</v>
      </c>
      <c r="BE38" s="18">
        <v>3.0</v>
      </c>
      <c r="BF38" s="18">
        <v>3.0</v>
      </c>
      <c r="BG38" s="18">
        <v>3.0</v>
      </c>
      <c r="BH38" s="18">
        <v>3.0</v>
      </c>
      <c r="BI38" s="18">
        <v>3.0</v>
      </c>
      <c r="BJ38" s="18">
        <v>3.0</v>
      </c>
      <c r="BK38" s="18">
        <v>3.0</v>
      </c>
      <c r="BL38" s="18">
        <v>3.0</v>
      </c>
      <c r="BM38" s="18">
        <v>3.0</v>
      </c>
      <c r="BN38" s="18">
        <v>3.0</v>
      </c>
      <c r="BO38" s="18">
        <v>3.0</v>
      </c>
      <c r="BP38" s="18">
        <v>3.0</v>
      </c>
      <c r="BQ38" s="18">
        <v>3.0</v>
      </c>
      <c r="BR38" s="18">
        <v>3.0</v>
      </c>
      <c r="BS38" s="18">
        <v>3.0</v>
      </c>
      <c r="BT38" s="18">
        <v>3.0</v>
      </c>
      <c r="BU38" s="18">
        <v>3.0</v>
      </c>
      <c r="BV38" s="18">
        <v>3.0</v>
      </c>
      <c r="BW38" s="18">
        <v>3.0</v>
      </c>
      <c r="BX38" s="18">
        <v>3.0</v>
      </c>
      <c r="BY38" s="18">
        <v>3.0</v>
      </c>
      <c r="BZ38" s="18">
        <v>3.0</v>
      </c>
      <c r="CA38" s="18">
        <v>3.0</v>
      </c>
      <c r="CB38" s="18">
        <v>3.0</v>
      </c>
      <c r="CC38" s="18">
        <v>3.0</v>
      </c>
      <c r="CD38" s="18">
        <v>3.0</v>
      </c>
      <c r="CE38" s="18">
        <v>3.0</v>
      </c>
      <c r="CF38" s="18">
        <v>3.0</v>
      </c>
      <c r="CG38" s="18">
        <v>3.0</v>
      </c>
      <c r="CH38" s="18">
        <v>3.0</v>
      </c>
      <c r="CI38" s="18">
        <v>3.0</v>
      </c>
      <c r="CJ38" s="18">
        <v>3.0</v>
      </c>
      <c r="CK38" s="18">
        <v>3.0</v>
      </c>
      <c r="CL38" s="18">
        <v>3.0</v>
      </c>
      <c r="CM38" s="18">
        <v>3.0</v>
      </c>
      <c r="CN38" s="18">
        <v>3.0</v>
      </c>
      <c r="CO38" s="18">
        <v>2.0</v>
      </c>
      <c r="CP38" s="18">
        <v>2.0</v>
      </c>
      <c r="CQ38" s="18">
        <v>2.0</v>
      </c>
      <c r="CR38" s="18">
        <v>2.0</v>
      </c>
      <c r="CS38" s="18">
        <v>2.0</v>
      </c>
      <c r="CT38" s="18">
        <v>2.0</v>
      </c>
      <c r="CU38" s="18">
        <v>2.0</v>
      </c>
      <c r="CV38" s="18">
        <v>2.0</v>
      </c>
      <c r="CW38" s="18">
        <v>1.0</v>
      </c>
      <c r="CX38" s="18">
        <v>2.0</v>
      </c>
      <c r="CY38" s="18">
        <v>2.0</v>
      </c>
      <c r="CZ38" s="18">
        <v>1.0</v>
      </c>
      <c r="DA38" s="18">
        <v>1.0</v>
      </c>
      <c r="DB38" s="18">
        <v>2.0</v>
      </c>
      <c r="DC38" s="18">
        <v>2.0</v>
      </c>
      <c r="DD38" s="18">
        <v>2.0</v>
      </c>
      <c r="DE38" s="18">
        <v>2.0</v>
      </c>
      <c r="DF38" s="18">
        <v>2.0</v>
      </c>
      <c r="DG38" s="18">
        <v>2.0</v>
      </c>
      <c r="DH38" s="18">
        <v>2.0</v>
      </c>
      <c r="DI38" s="18">
        <v>2.0</v>
      </c>
      <c r="DJ38" s="18">
        <v>2.0</v>
      </c>
      <c r="DK38" s="18">
        <v>2.0</v>
      </c>
      <c r="DL38" s="18">
        <v>2.0</v>
      </c>
      <c r="DM38" s="18">
        <v>3.0</v>
      </c>
      <c r="DN38" s="18">
        <v>1.0</v>
      </c>
      <c r="DO38" s="18">
        <v>2.0</v>
      </c>
      <c r="DP38" s="18">
        <v>2.0</v>
      </c>
      <c r="DQ38" s="18">
        <v>0.0</v>
      </c>
      <c r="DR38" s="18">
        <v>3.0</v>
      </c>
      <c r="DS38" s="18">
        <v>2.0</v>
      </c>
      <c r="DT38" s="18">
        <v>3.0</v>
      </c>
      <c r="DU38" s="18">
        <v>2.0</v>
      </c>
      <c r="DV38" s="18">
        <v>2.0</v>
      </c>
      <c r="DW38" s="18">
        <v>2.0</v>
      </c>
      <c r="DX38" s="18">
        <v>2.0</v>
      </c>
      <c r="DY38" s="18">
        <v>2.0</v>
      </c>
      <c r="DZ38" s="18">
        <v>2.0</v>
      </c>
      <c r="EA38" s="18">
        <v>2.0</v>
      </c>
      <c r="EB38" s="18">
        <v>2.0</v>
      </c>
      <c r="EC38" s="18">
        <v>3.0</v>
      </c>
      <c r="ED38" s="18">
        <v>3.0</v>
      </c>
      <c r="EE38" s="18">
        <v>3.0</v>
      </c>
      <c r="EF38" s="18">
        <v>3.0</v>
      </c>
      <c r="EG38" s="18">
        <v>3.0</v>
      </c>
      <c r="EH38" s="18">
        <v>3.0</v>
      </c>
      <c r="EI38" s="18">
        <v>3.0</v>
      </c>
      <c r="EJ38" s="18">
        <v>3.0</v>
      </c>
      <c r="EK38" s="18">
        <v>2.0</v>
      </c>
      <c r="EL38" s="18">
        <v>3.0</v>
      </c>
      <c r="EM38" s="18">
        <v>3.0</v>
      </c>
      <c r="EN38" s="18">
        <v>2.0</v>
      </c>
      <c r="EO38" s="18">
        <v>3.0</v>
      </c>
    </row>
    <row r="39" ht="21.75" customHeight="1">
      <c r="A39" s="17" t="s">
        <v>254</v>
      </c>
      <c r="B39" s="17" t="s">
        <v>255</v>
      </c>
      <c r="C39" s="17" t="s">
        <v>203</v>
      </c>
      <c r="D39" s="17" t="s">
        <v>256</v>
      </c>
      <c r="E39" s="17" t="s">
        <v>206</v>
      </c>
      <c r="F39" s="18">
        <v>2.0</v>
      </c>
      <c r="G39" s="18">
        <v>2.0</v>
      </c>
      <c r="H39" s="18">
        <v>2.0</v>
      </c>
      <c r="I39" s="18">
        <v>2.0</v>
      </c>
      <c r="J39" s="18">
        <v>2.0</v>
      </c>
      <c r="K39" s="18">
        <v>2.0</v>
      </c>
      <c r="L39" s="18">
        <v>2.0</v>
      </c>
      <c r="M39" s="18">
        <v>2.0</v>
      </c>
      <c r="N39" s="18">
        <v>2.0</v>
      </c>
      <c r="O39" s="18">
        <v>2.0</v>
      </c>
      <c r="P39" s="18">
        <v>2.0</v>
      </c>
      <c r="Q39" s="18">
        <v>2.0</v>
      </c>
      <c r="R39" s="18">
        <v>2.0</v>
      </c>
      <c r="S39" s="18">
        <v>2.0</v>
      </c>
      <c r="T39" s="18">
        <v>2.0</v>
      </c>
      <c r="U39" s="18">
        <v>2.0</v>
      </c>
      <c r="V39" s="18">
        <v>2.0</v>
      </c>
      <c r="W39" s="18">
        <v>2.0</v>
      </c>
      <c r="X39" s="18">
        <v>2.0</v>
      </c>
      <c r="Y39" s="18">
        <v>2.0</v>
      </c>
      <c r="Z39" s="18">
        <v>2.0</v>
      </c>
      <c r="AA39" s="18">
        <v>2.0</v>
      </c>
      <c r="AB39" s="18">
        <v>1.0</v>
      </c>
      <c r="AC39" s="18">
        <v>2.0</v>
      </c>
      <c r="AD39" s="18">
        <v>2.0</v>
      </c>
      <c r="AE39" s="18">
        <v>2.0</v>
      </c>
      <c r="AF39" s="18">
        <v>2.0</v>
      </c>
      <c r="AG39" s="18">
        <v>2.0</v>
      </c>
      <c r="AH39" s="18">
        <v>2.0</v>
      </c>
      <c r="AI39" s="18">
        <v>1.0</v>
      </c>
      <c r="AJ39" s="18">
        <v>2.0</v>
      </c>
      <c r="AK39" s="18">
        <v>2.0</v>
      </c>
      <c r="AL39" s="18">
        <v>2.0</v>
      </c>
      <c r="AM39" s="18">
        <v>2.0</v>
      </c>
      <c r="AN39" s="18">
        <v>2.0</v>
      </c>
      <c r="AO39" s="18">
        <v>2.0</v>
      </c>
      <c r="AP39" s="18">
        <v>2.0</v>
      </c>
      <c r="AQ39" s="18">
        <v>2.0</v>
      </c>
      <c r="AR39" s="18">
        <v>2.0</v>
      </c>
      <c r="AS39" s="18">
        <v>2.0</v>
      </c>
      <c r="AT39" s="18">
        <v>2.0</v>
      </c>
      <c r="AU39" s="18">
        <v>2.0</v>
      </c>
      <c r="AV39" s="18">
        <v>2.0</v>
      </c>
      <c r="AW39" s="18">
        <v>1.0</v>
      </c>
      <c r="AX39" s="18">
        <v>2.0</v>
      </c>
      <c r="AY39" s="18">
        <v>2.0</v>
      </c>
      <c r="AZ39" s="18">
        <v>2.0</v>
      </c>
      <c r="BA39" s="18">
        <v>2.0</v>
      </c>
      <c r="BB39" s="18">
        <v>2.0</v>
      </c>
      <c r="BC39" s="18">
        <v>2.0</v>
      </c>
      <c r="BD39" s="18">
        <v>2.0</v>
      </c>
      <c r="BE39" s="18">
        <v>2.0</v>
      </c>
      <c r="BF39" s="18">
        <v>2.0</v>
      </c>
      <c r="BG39" s="18">
        <v>2.0</v>
      </c>
      <c r="BH39" s="18">
        <v>2.0</v>
      </c>
      <c r="BI39" s="18">
        <v>2.0</v>
      </c>
      <c r="BJ39" s="18">
        <v>2.0</v>
      </c>
      <c r="BK39" s="18">
        <v>2.0</v>
      </c>
      <c r="BL39" s="18">
        <v>2.0</v>
      </c>
      <c r="BM39" s="18">
        <v>2.0</v>
      </c>
      <c r="BN39" s="18">
        <v>2.0</v>
      </c>
      <c r="BO39" s="18">
        <v>2.0</v>
      </c>
      <c r="BP39" s="18">
        <v>2.0</v>
      </c>
      <c r="BQ39" s="18">
        <v>2.0</v>
      </c>
      <c r="BR39" s="18">
        <v>2.0</v>
      </c>
      <c r="BS39" s="18">
        <v>2.0</v>
      </c>
      <c r="BT39" s="18">
        <v>2.0</v>
      </c>
      <c r="BU39" s="18">
        <v>2.0</v>
      </c>
      <c r="BV39" s="18">
        <v>2.0</v>
      </c>
      <c r="BW39" s="18">
        <v>2.0</v>
      </c>
      <c r="BX39" s="18">
        <v>2.0</v>
      </c>
      <c r="BY39" s="18">
        <v>2.0</v>
      </c>
      <c r="BZ39" s="18">
        <v>2.0</v>
      </c>
      <c r="CA39" s="18">
        <v>1.0</v>
      </c>
      <c r="CB39" s="18">
        <v>1.0</v>
      </c>
      <c r="CC39" s="18">
        <v>1.0</v>
      </c>
      <c r="CD39" s="18">
        <v>1.0</v>
      </c>
      <c r="CE39" s="18">
        <v>1.0</v>
      </c>
      <c r="CF39" s="18">
        <v>1.0</v>
      </c>
      <c r="CG39" s="18">
        <v>1.0</v>
      </c>
      <c r="CH39" s="18">
        <v>1.0</v>
      </c>
      <c r="CI39" s="18">
        <v>1.0</v>
      </c>
      <c r="CJ39" s="18">
        <v>1.0</v>
      </c>
      <c r="CK39" s="18">
        <v>1.0</v>
      </c>
      <c r="CL39" s="18">
        <v>1.0</v>
      </c>
      <c r="CM39" s="18">
        <v>1.0</v>
      </c>
      <c r="CN39" s="18">
        <v>1.0</v>
      </c>
      <c r="CO39" s="18">
        <v>1.0</v>
      </c>
      <c r="CP39" s="18">
        <v>1.0</v>
      </c>
      <c r="CQ39" s="18">
        <v>1.0</v>
      </c>
      <c r="CR39" s="18">
        <v>1.0</v>
      </c>
      <c r="CS39" s="18">
        <v>1.0</v>
      </c>
      <c r="CT39" s="18">
        <v>1.0</v>
      </c>
      <c r="CU39" s="18">
        <v>1.0</v>
      </c>
      <c r="CV39" s="18">
        <v>1.0</v>
      </c>
      <c r="CW39" s="18">
        <v>0.0</v>
      </c>
      <c r="CX39" s="18">
        <v>1.0</v>
      </c>
      <c r="CY39" s="18">
        <v>1.0</v>
      </c>
      <c r="CZ39" s="18">
        <v>0.0</v>
      </c>
      <c r="DA39" s="18">
        <v>0.0</v>
      </c>
      <c r="DB39" s="18">
        <v>1.0</v>
      </c>
      <c r="DC39" s="18">
        <v>1.0</v>
      </c>
      <c r="DD39" s="18">
        <v>0.0</v>
      </c>
      <c r="DE39" s="18">
        <v>2.0</v>
      </c>
      <c r="DF39" s="18">
        <v>2.0</v>
      </c>
      <c r="DG39" s="18">
        <v>2.0</v>
      </c>
      <c r="DH39" s="18">
        <v>2.0</v>
      </c>
      <c r="DI39" s="18">
        <v>2.0</v>
      </c>
      <c r="DJ39" s="18">
        <v>2.0</v>
      </c>
      <c r="DK39" s="18">
        <v>2.0</v>
      </c>
      <c r="DL39" s="18">
        <v>2.0</v>
      </c>
      <c r="DM39" s="18">
        <v>2.0</v>
      </c>
      <c r="DN39" s="18">
        <v>1.0</v>
      </c>
      <c r="DO39" s="18">
        <v>2.0</v>
      </c>
      <c r="DP39" s="18">
        <v>2.0</v>
      </c>
      <c r="DQ39" s="18">
        <v>2.0</v>
      </c>
      <c r="DR39" s="18">
        <v>2.0</v>
      </c>
      <c r="DS39" s="18">
        <v>1.0</v>
      </c>
      <c r="DT39" s="18">
        <v>2.0</v>
      </c>
      <c r="DU39" s="18">
        <v>1.0</v>
      </c>
      <c r="DV39" s="18">
        <v>1.0</v>
      </c>
      <c r="DW39" s="18">
        <v>1.0</v>
      </c>
      <c r="DX39" s="18">
        <v>1.0</v>
      </c>
      <c r="DY39" s="18">
        <v>1.0</v>
      </c>
      <c r="DZ39" s="18">
        <v>1.0</v>
      </c>
      <c r="EA39" s="18">
        <v>1.0</v>
      </c>
      <c r="EB39" s="18">
        <v>1.0</v>
      </c>
      <c r="EC39" s="18">
        <v>3.0</v>
      </c>
      <c r="ED39" s="18">
        <v>3.0</v>
      </c>
      <c r="EE39" s="18">
        <v>2.0</v>
      </c>
      <c r="EF39" s="18">
        <v>3.0</v>
      </c>
      <c r="EG39" s="18">
        <v>2.0</v>
      </c>
      <c r="EH39" s="18">
        <v>2.0</v>
      </c>
      <c r="EI39" s="18">
        <v>2.0</v>
      </c>
      <c r="EJ39" s="18">
        <v>2.0</v>
      </c>
      <c r="EK39" s="18">
        <v>2.0</v>
      </c>
      <c r="EL39" s="18">
        <v>2.0</v>
      </c>
      <c r="EM39" s="18">
        <v>3.0</v>
      </c>
      <c r="EN39" s="18">
        <v>2.0</v>
      </c>
      <c r="EO39" s="18">
        <v>2.0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5E89E94-D761-4A32-B361-1F439E61CF02}" filter="1" showAutoFilter="1">
      <autoFilter ref="$A$4:$EO$39"/>
    </customSheetView>
  </customSheetViews>
  <mergeCells count="2">
    <mergeCell ref="A1:H1"/>
    <mergeCell ref="A2:H2"/>
  </mergeCells>
  <conditionalFormatting sqref="F5:EO39">
    <cfRule type="cellIs" dxfId="5" priority="1" operator="equal">
      <formula>0</formula>
    </cfRule>
  </conditionalFormatting>
  <conditionalFormatting sqref="F5:EO39">
    <cfRule type="cellIs" dxfId="6" priority="2" operator="equal">
      <formula>1</formula>
    </cfRule>
  </conditionalFormatting>
  <conditionalFormatting sqref="F5:EO39">
    <cfRule type="cellIs" dxfId="7" priority="3" operator="equal">
      <formula>2</formula>
    </cfRule>
  </conditionalFormatting>
  <conditionalFormatting sqref="F5:EO39">
    <cfRule type="cellIs" dxfId="8" priority="4" operator="equal">
      <formula>3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0"/>
    <col customWidth="1" min="2" max="2" width="38.0"/>
    <col customWidth="1" min="3" max="3" width="16.0"/>
    <col customWidth="1" min="4" max="5" width="24.0"/>
    <col customWidth="1" min="6" max="8" width="45.0"/>
    <col customWidth="1" min="9" max="9" width="55.0"/>
    <col customWidth="1" min="10" max="26" width="8.63"/>
  </cols>
  <sheetData>
    <row r="1" ht="27.75" customHeight="1">
      <c r="A1" s="1" t="s">
        <v>257</v>
      </c>
    </row>
    <row r="3">
      <c r="A3" s="16" t="s">
        <v>53</v>
      </c>
      <c r="B3" s="16" t="s">
        <v>14</v>
      </c>
      <c r="C3" s="16" t="s">
        <v>16</v>
      </c>
      <c r="D3" s="16" t="s">
        <v>54</v>
      </c>
      <c r="E3" s="16" t="s">
        <v>258</v>
      </c>
      <c r="F3" s="16" t="s">
        <v>259</v>
      </c>
      <c r="G3" s="16" t="s">
        <v>260</v>
      </c>
      <c r="H3" s="16" t="s">
        <v>261</v>
      </c>
      <c r="I3" s="16" t="s">
        <v>262</v>
      </c>
    </row>
    <row r="4" ht="48.0" customHeight="1">
      <c r="A4" s="17" t="s">
        <v>24</v>
      </c>
      <c r="B4" s="17" t="s">
        <v>25</v>
      </c>
      <c r="C4" s="17" t="s">
        <v>21</v>
      </c>
      <c r="D4" s="17" t="s">
        <v>196</v>
      </c>
      <c r="E4" s="17" t="s">
        <v>263</v>
      </c>
      <c r="F4" s="19" t="s">
        <v>264</v>
      </c>
      <c r="G4" s="19" t="s">
        <v>265</v>
      </c>
      <c r="H4" s="19" t="s">
        <v>266</v>
      </c>
      <c r="I4" s="19" t="s">
        <v>267</v>
      </c>
    </row>
    <row r="5" ht="48.0" customHeight="1">
      <c r="A5" s="17" t="s">
        <v>39</v>
      </c>
      <c r="B5" s="17" t="s">
        <v>25</v>
      </c>
      <c r="C5" s="17" t="s">
        <v>21</v>
      </c>
      <c r="D5" s="17" t="s">
        <v>198</v>
      </c>
      <c r="E5" s="17" t="s">
        <v>268</v>
      </c>
      <c r="F5" s="19" t="s">
        <v>269</v>
      </c>
      <c r="G5" s="19" t="s">
        <v>270</v>
      </c>
      <c r="H5" s="19" t="s">
        <v>271</v>
      </c>
      <c r="I5" s="19" t="s">
        <v>272</v>
      </c>
    </row>
    <row r="6" ht="48.0" customHeight="1">
      <c r="A6" s="17" t="s">
        <v>199</v>
      </c>
      <c r="B6" s="17" t="s">
        <v>200</v>
      </c>
      <c r="C6" s="17" t="s">
        <v>21</v>
      </c>
      <c r="D6" s="17" t="s">
        <v>201</v>
      </c>
      <c r="E6" s="17" t="s">
        <v>273</v>
      </c>
      <c r="F6" s="19" t="s">
        <v>274</v>
      </c>
      <c r="G6" s="19" t="s">
        <v>275</v>
      </c>
      <c r="H6" s="19" t="s">
        <v>276</v>
      </c>
      <c r="I6" s="19" t="s">
        <v>277</v>
      </c>
    </row>
    <row r="7" ht="48.0" customHeight="1">
      <c r="A7" s="17" t="s">
        <v>202</v>
      </c>
      <c r="B7" s="17" t="s">
        <v>200</v>
      </c>
      <c r="C7" s="17" t="s">
        <v>21</v>
      </c>
      <c r="D7" s="17" t="s">
        <v>203</v>
      </c>
      <c r="E7" s="17" t="s">
        <v>263</v>
      </c>
      <c r="F7" s="19" t="s">
        <v>278</v>
      </c>
      <c r="G7" s="19" t="s">
        <v>279</v>
      </c>
      <c r="H7" s="19" t="s">
        <v>280</v>
      </c>
      <c r="I7" s="19" t="s">
        <v>281</v>
      </c>
    </row>
    <row r="8" ht="48.0" customHeight="1">
      <c r="A8" s="17" t="s">
        <v>41</v>
      </c>
      <c r="B8" s="17" t="s">
        <v>42</v>
      </c>
      <c r="C8" s="17" t="s">
        <v>21</v>
      </c>
      <c r="D8" s="17" t="s">
        <v>204</v>
      </c>
      <c r="E8" s="17" t="s">
        <v>282</v>
      </c>
      <c r="F8" s="19" t="s">
        <v>283</v>
      </c>
      <c r="G8" s="19" t="s">
        <v>284</v>
      </c>
      <c r="H8" s="19" t="s">
        <v>285</v>
      </c>
      <c r="I8" s="19" t="s">
        <v>286</v>
      </c>
    </row>
    <row r="9" ht="48.0" customHeight="1">
      <c r="A9" s="17" t="s">
        <v>34</v>
      </c>
      <c r="B9" s="17" t="s">
        <v>20</v>
      </c>
      <c r="C9" s="17" t="s">
        <v>21</v>
      </c>
      <c r="D9" s="17" t="s">
        <v>203</v>
      </c>
      <c r="E9" s="17" t="s">
        <v>287</v>
      </c>
      <c r="F9" s="19" t="s">
        <v>288</v>
      </c>
      <c r="G9" s="19" t="s">
        <v>289</v>
      </c>
      <c r="H9" s="19" t="s">
        <v>290</v>
      </c>
      <c r="I9" s="19" t="s">
        <v>291</v>
      </c>
    </row>
    <row r="10" ht="48.0" customHeight="1">
      <c r="A10" s="17" t="s">
        <v>205</v>
      </c>
      <c r="B10" s="17" t="s">
        <v>20</v>
      </c>
      <c r="C10" s="17" t="s">
        <v>21</v>
      </c>
      <c r="D10" s="17" t="s">
        <v>203</v>
      </c>
      <c r="E10" s="17" t="s">
        <v>292</v>
      </c>
      <c r="F10" s="19" t="s">
        <v>293</v>
      </c>
      <c r="G10" s="19" t="s">
        <v>294</v>
      </c>
      <c r="H10" s="19" t="s">
        <v>295</v>
      </c>
      <c r="I10" s="19" t="s">
        <v>296</v>
      </c>
    </row>
    <row r="11" ht="48.0" customHeight="1">
      <c r="A11" s="17" t="s">
        <v>19</v>
      </c>
      <c r="B11" s="17" t="s">
        <v>20</v>
      </c>
      <c r="C11" s="17" t="s">
        <v>21</v>
      </c>
      <c r="D11" s="17" t="s">
        <v>203</v>
      </c>
      <c r="E11" s="17" t="s">
        <v>297</v>
      </c>
      <c r="F11" s="19" t="s">
        <v>298</v>
      </c>
      <c r="G11" s="19" t="s">
        <v>299</v>
      </c>
      <c r="H11" s="19" t="s">
        <v>300</v>
      </c>
      <c r="I11" s="19" t="s">
        <v>301</v>
      </c>
    </row>
    <row r="12" ht="48.0" customHeight="1">
      <c r="A12" s="17" t="s">
        <v>207</v>
      </c>
      <c r="B12" s="17" t="s">
        <v>208</v>
      </c>
      <c r="C12" s="17" t="s">
        <v>21</v>
      </c>
      <c r="D12" s="17" t="s">
        <v>203</v>
      </c>
      <c r="E12" s="17" t="s">
        <v>302</v>
      </c>
      <c r="F12" s="19" t="s">
        <v>303</v>
      </c>
      <c r="G12" s="19" t="s">
        <v>304</v>
      </c>
      <c r="H12" s="19" t="s">
        <v>305</v>
      </c>
      <c r="I12" s="19" t="s">
        <v>306</v>
      </c>
    </row>
    <row r="13" ht="48.0" customHeight="1">
      <c r="A13" s="17" t="s">
        <v>31</v>
      </c>
      <c r="B13" s="17" t="s">
        <v>32</v>
      </c>
      <c r="C13" s="17" t="s">
        <v>21</v>
      </c>
      <c r="D13" s="17" t="s">
        <v>203</v>
      </c>
      <c r="E13" s="17" t="s">
        <v>307</v>
      </c>
      <c r="F13" s="19" t="s">
        <v>308</v>
      </c>
      <c r="G13" s="19" t="s">
        <v>309</v>
      </c>
      <c r="H13" s="19" t="s">
        <v>310</v>
      </c>
      <c r="I13" s="19" t="s">
        <v>311</v>
      </c>
    </row>
    <row r="14" ht="48.0" customHeight="1">
      <c r="A14" s="17" t="s">
        <v>209</v>
      </c>
      <c r="B14" s="17" t="s">
        <v>210</v>
      </c>
      <c r="C14" s="17" t="s">
        <v>21</v>
      </c>
      <c r="D14" s="17" t="s">
        <v>203</v>
      </c>
      <c r="E14" s="17" t="s">
        <v>312</v>
      </c>
      <c r="F14" s="19" t="s">
        <v>313</v>
      </c>
      <c r="G14" s="19" t="s">
        <v>314</v>
      </c>
      <c r="H14" s="19" t="s">
        <v>315</v>
      </c>
      <c r="I14" s="19" t="s">
        <v>316</v>
      </c>
    </row>
    <row r="15" ht="48.0" customHeight="1">
      <c r="A15" s="17" t="s">
        <v>211</v>
      </c>
      <c r="B15" s="17" t="s">
        <v>212</v>
      </c>
      <c r="C15" s="17" t="s">
        <v>21</v>
      </c>
      <c r="D15" s="17" t="s">
        <v>203</v>
      </c>
      <c r="E15" s="17" t="s">
        <v>317</v>
      </c>
      <c r="F15" s="19" t="s">
        <v>318</v>
      </c>
      <c r="G15" s="19" t="s">
        <v>319</v>
      </c>
      <c r="H15" s="19" t="s">
        <v>320</v>
      </c>
      <c r="I15" s="19" t="s">
        <v>321</v>
      </c>
    </row>
    <row r="16" ht="48.0" customHeight="1">
      <c r="A16" s="17" t="s">
        <v>213</v>
      </c>
      <c r="B16" s="17" t="s">
        <v>214</v>
      </c>
      <c r="C16" s="17" t="s">
        <v>21</v>
      </c>
      <c r="D16" s="17" t="s">
        <v>203</v>
      </c>
      <c r="E16" s="17" t="s">
        <v>322</v>
      </c>
      <c r="F16" s="19" t="s">
        <v>323</v>
      </c>
      <c r="G16" s="19" t="s">
        <v>324</v>
      </c>
      <c r="H16" s="19" t="s">
        <v>325</v>
      </c>
      <c r="I16" s="19" t="s">
        <v>326</v>
      </c>
    </row>
    <row r="17" ht="48.0" customHeight="1">
      <c r="A17" s="17" t="s">
        <v>215</v>
      </c>
      <c r="B17" s="17" t="s">
        <v>216</v>
      </c>
      <c r="C17" s="17" t="s">
        <v>21</v>
      </c>
      <c r="D17" s="17" t="s">
        <v>203</v>
      </c>
      <c r="E17" s="17" t="s">
        <v>327</v>
      </c>
      <c r="F17" s="19" t="s">
        <v>328</v>
      </c>
      <c r="G17" s="19" t="s">
        <v>329</v>
      </c>
      <c r="H17" s="19" t="s">
        <v>330</v>
      </c>
      <c r="I17" s="19" t="s">
        <v>331</v>
      </c>
    </row>
    <row r="18" ht="48.0" customHeight="1">
      <c r="A18" s="17" t="s">
        <v>217</v>
      </c>
      <c r="B18" s="17" t="s">
        <v>218</v>
      </c>
      <c r="C18" s="17" t="s">
        <v>21</v>
      </c>
      <c r="D18" s="17" t="s">
        <v>203</v>
      </c>
      <c r="E18" s="17" t="s">
        <v>332</v>
      </c>
      <c r="F18" s="19" t="s">
        <v>333</v>
      </c>
      <c r="G18" s="19" t="s">
        <v>334</v>
      </c>
      <c r="H18" s="19" t="s">
        <v>335</v>
      </c>
      <c r="I18" s="19" t="s">
        <v>336</v>
      </c>
    </row>
    <row r="19" ht="48.0" customHeight="1">
      <c r="A19" s="17" t="s">
        <v>219</v>
      </c>
      <c r="B19" s="17" t="s">
        <v>220</v>
      </c>
      <c r="C19" s="17" t="s">
        <v>21</v>
      </c>
      <c r="D19" s="17" t="s">
        <v>203</v>
      </c>
      <c r="E19" s="17" t="s">
        <v>337</v>
      </c>
      <c r="F19" s="19" t="s">
        <v>338</v>
      </c>
      <c r="G19" s="19" t="s">
        <v>339</v>
      </c>
      <c r="H19" s="19" t="s">
        <v>340</v>
      </c>
      <c r="I19" s="19" t="s">
        <v>341</v>
      </c>
    </row>
    <row r="20" ht="48.0" customHeight="1">
      <c r="A20" s="17" t="s">
        <v>221</v>
      </c>
      <c r="B20" s="17" t="s">
        <v>222</v>
      </c>
      <c r="C20" s="17" t="s">
        <v>21</v>
      </c>
      <c r="D20" s="17" t="s">
        <v>223</v>
      </c>
      <c r="E20" s="17" t="s">
        <v>342</v>
      </c>
      <c r="F20" s="19" t="s">
        <v>343</v>
      </c>
      <c r="G20" s="19" t="s">
        <v>344</v>
      </c>
      <c r="H20" s="19" t="s">
        <v>345</v>
      </c>
      <c r="I20" s="19" t="s">
        <v>346</v>
      </c>
    </row>
    <row r="21" ht="48.0" customHeight="1">
      <c r="A21" s="17" t="s">
        <v>224</v>
      </c>
      <c r="B21" s="17" t="s">
        <v>225</v>
      </c>
      <c r="C21" s="17" t="s">
        <v>21</v>
      </c>
      <c r="D21" s="17" t="s">
        <v>226</v>
      </c>
      <c r="E21" s="17" t="s">
        <v>347</v>
      </c>
      <c r="F21" s="19" t="s">
        <v>348</v>
      </c>
      <c r="G21" s="19" t="s">
        <v>349</v>
      </c>
      <c r="H21" s="19" t="s">
        <v>350</v>
      </c>
      <c r="I21" s="19" t="s">
        <v>351</v>
      </c>
    </row>
    <row r="22" ht="48.0" customHeight="1">
      <c r="A22" s="17" t="s">
        <v>28</v>
      </c>
      <c r="B22" s="17" t="s">
        <v>29</v>
      </c>
      <c r="C22" s="17" t="s">
        <v>21</v>
      </c>
      <c r="D22" s="17" t="s">
        <v>203</v>
      </c>
      <c r="E22" s="17" t="s">
        <v>352</v>
      </c>
      <c r="F22" s="19" t="s">
        <v>353</v>
      </c>
      <c r="G22" s="19" t="s">
        <v>354</v>
      </c>
      <c r="H22" s="19" t="s">
        <v>355</v>
      </c>
      <c r="I22" s="19" t="s">
        <v>356</v>
      </c>
    </row>
    <row r="23" ht="48.0" customHeight="1">
      <c r="A23" s="17" t="s">
        <v>227</v>
      </c>
      <c r="B23" s="17" t="s">
        <v>228</v>
      </c>
      <c r="C23" s="17" t="s">
        <v>21</v>
      </c>
      <c r="D23" s="17" t="s">
        <v>203</v>
      </c>
      <c r="E23" s="17" t="s">
        <v>352</v>
      </c>
      <c r="F23" s="19" t="s">
        <v>357</v>
      </c>
      <c r="G23" s="19" t="s">
        <v>358</v>
      </c>
      <c r="H23" s="19" t="s">
        <v>359</v>
      </c>
      <c r="I23" s="19" t="s">
        <v>360</v>
      </c>
    </row>
    <row r="24" ht="48.0" customHeight="1">
      <c r="A24" s="17" t="s">
        <v>48</v>
      </c>
      <c r="B24" s="17" t="s">
        <v>49</v>
      </c>
      <c r="C24" s="17" t="s">
        <v>21</v>
      </c>
      <c r="D24" s="17" t="s">
        <v>203</v>
      </c>
      <c r="E24" s="17" t="s">
        <v>352</v>
      </c>
      <c r="F24" s="19" t="s">
        <v>361</v>
      </c>
      <c r="G24" s="19" t="s">
        <v>362</v>
      </c>
      <c r="H24" s="19" t="s">
        <v>363</v>
      </c>
      <c r="I24" s="19" t="s">
        <v>364</v>
      </c>
    </row>
    <row r="25" ht="48.0" customHeight="1">
      <c r="A25" s="17" t="s">
        <v>45</v>
      </c>
      <c r="B25" s="17" t="s">
        <v>46</v>
      </c>
      <c r="C25" s="17" t="s">
        <v>21</v>
      </c>
      <c r="D25" s="17" t="s">
        <v>203</v>
      </c>
      <c r="E25" s="17" t="s">
        <v>352</v>
      </c>
      <c r="F25" s="19" t="s">
        <v>365</v>
      </c>
      <c r="G25" s="19" t="s">
        <v>366</v>
      </c>
      <c r="H25" s="19" t="s">
        <v>367</v>
      </c>
      <c r="I25" s="19" t="s">
        <v>368</v>
      </c>
    </row>
    <row r="26" ht="48.0" customHeight="1">
      <c r="A26" s="17" t="s">
        <v>229</v>
      </c>
      <c r="B26" s="17" t="s">
        <v>230</v>
      </c>
      <c r="C26" s="17" t="s">
        <v>21</v>
      </c>
      <c r="D26" s="17" t="s">
        <v>231</v>
      </c>
      <c r="E26" s="17" t="s">
        <v>369</v>
      </c>
      <c r="F26" s="19" t="s">
        <v>370</v>
      </c>
      <c r="G26" s="19" t="s">
        <v>371</v>
      </c>
      <c r="H26" s="19" t="s">
        <v>372</v>
      </c>
      <c r="I26" s="19" t="s">
        <v>373</v>
      </c>
    </row>
    <row r="27" ht="48.0" customHeight="1">
      <c r="A27" s="17" t="s">
        <v>232</v>
      </c>
      <c r="B27" s="17" t="s">
        <v>233</v>
      </c>
      <c r="C27" s="17" t="s">
        <v>21</v>
      </c>
      <c r="D27" s="17" t="s">
        <v>203</v>
      </c>
      <c r="E27" s="17" t="s">
        <v>297</v>
      </c>
      <c r="F27" s="19" t="s">
        <v>374</v>
      </c>
      <c r="G27" s="19" t="s">
        <v>375</v>
      </c>
      <c r="H27" s="19" t="s">
        <v>376</v>
      </c>
      <c r="I27" s="19" t="s">
        <v>377</v>
      </c>
    </row>
    <row r="28" ht="48.0" customHeight="1">
      <c r="A28" s="17" t="s">
        <v>234</v>
      </c>
      <c r="B28" s="17" t="s">
        <v>235</v>
      </c>
      <c r="C28" s="17" t="s">
        <v>21</v>
      </c>
      <c r="D28" s="17" t="s">
        <v>236</v>
      </c>
      <c r="E28" s="17" t="s">
        <v>378</v>
      </c>
      <c r="F28" s="19" t="s">
        <v>379</v>
      </c>
      <c r="G28" s="19" t="s">
        <v>380</v>
      </c>
      <c r="H28" s="19" t="s">
        <v>381</v>
      </c>
      <c r="I28" s="19" t="s">
        <v>382</v>
      </c>
    </row>
    <row r="29" ht="48.0" customHeight="1">
      <c r="A29" s="17" t="s">
        <v>237</v>
      </c>
      <c r="B29" s="17" t="s">
        <v>238</v>
      </c>
      <c r="C29" s="17" t="s">
        <v>21</v>
      </c>
      <c r="D29" s="17" t="s">
        <v>231</v>
      </c>
      <c r="E29" s="17" t="s">
        <v>383</v>
      </c>
      <c r="F29" s="19" t="s">
        <v>384</v>
      </c>
      <c r="G29" s="19" t="s">
        <v>385</v>
      </c>
      <c r="H29" s="19" t="s">
        <v>386</v>
      </c>
      <c r="I29" s="19" t="s">
        <v>387</v>
      </c>
    </row>
    <row r="30" ht="48.0" customHeight="1">
      <c r="A30" s="17" t="s">
        <v>239</v>
      </c>
      <c r="B30" s="17" t="s">
        <v>240</v>
      </c>
      <c r="C30" s="17" t="s">
        <v>21</v>
      </c>
      <c r="D30" s="17" t="s">
        <v>241</v>
      </c>
      <c r="E30" s="17" t="s">
        <v>388</v>
      </c>
      <c r="F30" s="19" t="s">
        <v>389</v>
      </c>
      <c r="G30" s="19" t="s">
        <v>390</v>
      </c>
      <c r="H30" s="19" t="s">
        <v>391</v>
      </c>
      <c r="I30" s="19" t="s">
        <v>392</v>
      </c>
    </row>
    <row r="31" ht="48.0" customHeight="1">
      <c r="A31" s="17" t="s">
        <v>242</v>
      </c>
      <c r="B31" s="17" t="s">
        <v>243</v>
      </c>
      <c r="C31" s="17" t="s">
        <v>21</v>
      </c>
      <c r="D31" s="17" t="s">
        <v>231</v>
      </c>
      <c r="E31" s="17" t="s">
        <v>393</v>
      </c>
      <c r="F31" s="19" t="s">
        <v>394</v>
      </c>
      <c r="G31" s="19" t="s">
        <v>395</v>
      </c>
      <c r="H31" s="19" t="s">
        <v>396</v>
      </c>
      <c r="I31" s="19" t="s">
        <v>397</v>
      </c>
    </row>
    <row r="32" ht="48.0" customHeight="1">
      <c r="A32" s="17" t="s">
        <v>244</v>
      </c>
      <c r="B32" s="17" t="s">
        <v>245</v>
      </c>
      <c r="C32" s="17" t="s">
        <v>21</v>
      </c>
      <c r="D32" s="17" t="s">
        <v>231</v>
      </c>
      <c r="E32" s="17" t="s">
        <v>398</v>
      </c>
      <c r="F32" s="19" t="s">
        <v>399</v>
      </c>
      <c r="G32" s="19" t="s">
        <v>400</v>
      </c>
      <c r="H32" s="19" t="s">
        <v>401</v>
      </c>
      <c r="I32" s="19" t="s">
        <v>402</v>
      </c>
    </row>
    <row r="33" ht="48.0" customHeight="1">
      <c r="A33" s="17" t="s">
        <v>246</v>
      </c>
      <c r="B33" s="17" t="s">
        <v>247</v>
      </c>
      <c r="C33" s="17" t="s">
        <v>21</v>
      </c>
      <c r="D33" s="17" t="s">
        <v>203</v>
      </c>
      <c r="E33" s="17" t="s">
        <v>403</v>
      </c>
      <c r="F33" s="19" t="s">
        <v>404</v>
      </c>
      <c r="G33" s="19" t="s">
        <v>405</v>
      </c>
      <c r="H33" s="19" t="s">
        <v>406</v>
      </c>
      <c r="I33" s="19" t="s">
        <v>407</v>
      </c>
    </row>
    <row r="34" ht="48.0" customHeight="1">
      <c r="A34" s="17" t="s">
        <v>248</v>
      </c>
      <c r="B34" s="17" t="s">
        <v>249</v>
      </c>
      <c r="C34" s="17" t="s">
        <v>21</v>
      </c>
      <c r="D34" s="17" t="s">
        <v>203</v>
      </c>
      <c r="E34" s="17" t="s">
        <v>408</v>
      </c>
      <c r="F34" s="19" t="s">
        <v>409</v>
      </c>
      <c r="G34" s="19" t="s">
        <v>410</v>
      </c>
      <c r="H34" s="19" t="s">
        <v>411</v>
      </c>
      <c r="I34" s="19" t="s">
        <v>412</v>
      </c>
    </row>
    <row r="35" ht="48.0" customHeight="1">
      <c r="A35" s="17" t="s">
        <v>250</v>
      </c>
      <c r="B35" s="17" t="s">
        <v>251</v>
      </c>
      <c r="C35" s="17" t="s">
        <v>21</v>
      </c>
      <c r="D35" s="17" t="s">
        <v>203</v>
      </c>
      <c r="E35" s="17" t="s">
        <v>413</v>
      </c>
      <c r="F35" s="19" t="s">
        <v>414</v>
      </c>
      <c r="G35" s="19" t="s">
        <v>415</v>
      </c>
      <c r="H35" s="19" t="s">
        <v>416</v>
      </c>
      <c r="I35" s="19" t="s">
        <v>417</v>
      </c>
    </row>
    <row r="36" ht="48.0" customHeight="1">
      <c r="A36" s="17" t="s">
        <v>252</v>
      </c>
      <c r="B36" s="17" t="s">
        <v>253</v>
      </c>
      <c r="C36" s="17" t="s">
        <v>21</v>
      </c>
      <c r="D36" s="17" t="s">
        <v>203</v>
      </c>
      <c r="E36" s="17" t="s">
        <v>418</v>
      </c>
      <c r="F36" s="19" t="s">
        <v>419</v>
      </c>
      <c r="G36" s="19" t="s">
        <v>420</v>
      </c>
      <c r="H36" s="19" t="s">
        <v>421</v>
      </c>
      <c r="I36" s="19" t="s">
        <v>422</v>
      </c>
    </row>
    <row r="37" ht="48.0" customHeight="1">
      <c r="A37" s="17" t="s">
        <v>36</v>
      </c>
      <c r="B37" s="17" t="s">
        <v>37</v>
      </c>
      <c r="C37" s="17" t="s">
        <v>21</v>
      </c>
      <c r="D37" s="17" t="s">
        <v>203</v>
      </c>
      <c r="E37" s="17" t="s">
        <v>423</v>
      </c>
      <c r="F37" s="19" t="s">
        <v>424</v>
      </c>
      <c r="G37" s="19" t="s">
        <v>425</v>
      </c>
      <c r="H37" s="19" t="s">
        <v>426</v>
      </c>
      <c r="I37" s="19" t="s">
        <v>427</v>
      </c>
    </row>
    <row r="38" ht="48.0" customHeight="1">
      <c r="A38" s="17" t="s">
        <v>254</v>
      </c>
      <c r="B38" s="17" t="s">
        <v>255</v>
      </c>
      <c r="C38" s="17" t="s">
        <v>256</v>
      </c>
      <c r="D38" s="17" t="s">
        <v>203</v>
      </c>
      <c r="E38" s="17" t="s">
        <v>428</v>
      </c>
      <c r="F38" s="19" t="s">
        <v>429</v>
      </c>
      <c r="G38" s="19" t="s">
        <v>430</v>
      </c>
      <c r="H38" s="19" t="s">
        <v>431</v>
      </c>
      <c r="I38" s="19" t="s">
        <v>432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D8DE416-4F2C-457B-AD4E-EEB9A1990C84}" filter="1" showAutoFilter="1">
      <autoFilter ref="$A$3:$I$38"/>
    </customSheetView>
  </customSheetViews>
  <mergeCells count="1">
    <mergeCell ref="A1:H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38.0"/>
    <col customWidth="1" min="3" max="3" width="18.0"/>
    <col customWidth="1" min="4" max="19" width="20.0"/>
    <col customWidth="1" min="20" max="20" width="55.0"/>
    <col customWidth="1" min="21" max="26" width="8.63"/>
  </cols>
  <sheetData>
    <row r="1" ht="27.75" customHeight="1">
      <c r="A1" s="1" t="s">
        <v>433</v>
      </c>
    </row>
    <row r="3">
      <c r="A3" s="16" t="s">
        <v>53</v>
      </c>
      <c r="B3" s="16" t="s">
        <v>14</v>
      </c>
      <c r="C3" s="16" t="s">
        <v>16</v>
      </c>
      <c r="D3" s="16" t="s">
        <v>143</v>
      </c>
      <c r="E3" s="16" t="s">
        <v>144</v>
      </c>
      <c r="F3" s="16" t="s">
        <v>145</v>
      </c>
      <c r="G3" s="16" t="s">
        <v>146</v>
      </c>
      <c r="H3" s="16" t="s">
        <v>147</v>
      </c>
      <c r="I3" s="16" t="s">
        <v>148</v>
      </c>
      <c r="J3" s="16" t="s">
        <v>149</v>
      </c>
      <c r="K3" s="16" t="s">
        <v>150</v>
      </c>
      <c r="L3" s="16" t="s">
        <v>151</v>
      </c>
      <c r="M3" s="16" t="s">
        <v>152</v>
      </c>
      <c r="N3" s="16" t="s">
        <v>153</v>
      </c>
      <c r="O3" s="16" t="s">
        <v>154</v>
      </c>
      <c r="P3" s="16" t="s">
        <v>155</v>
      </c>
      <c r="Q3" s="16" t="s">
        <v>156</v>
      </c>
      <c r="R3" s="16" t="s">
        <v>157</v>
      </c>
      <c r="S3" s="16" t="s">
        <v>158</v>
      </c>
      <c r="T3" s="16" t="s">
        <v>434</v>
      </c>
    </row>
    <row r="4" ht="24.0" customHeight="1">
      <c r="A4" s="17" t="s">
        <v>24</v>
      </c>
      <c r="B4" s="17" t="s">
        <v>25</v>
      </c>
      <c r="C4" s="17" t="s">
        <v>21</v>
      </c>
      <c r="D4" s="18">
        <v>3.0</v>
      </c>
      <c r="E4" s="18">
        <v>3.0</v>
      </c>
      <c r="F4" s="18">
        <v>3.0</v>
      </c>
      <c r="G4" s="18">
        <v>3.0</v>
      </c>
      <c r="H4" s="18">
        <v>3.0</v>
      </c>
      <c r="I4" s="18">
        <v>3.0</v>
      </c>
      <c r="J4" s="18">
        <v>3.0</v>
      </c>
      <c r="K4" s="18">
        <v>3.0</v>
      </c>
      <c r="L4" s="18">
        <v>2.0</v>
      </c>
      <c r="M4" s="18">
        <v>3.0</v>
      </c>
      <c r="N4" s="18">
        <v>3.0</v>
      </c>
      <c r="O4" s="18">
        <v>2.0</v>
      </c>
      <c r="P4" s="18">
        <v>2.0</v>
      </c>
      <c r="Q4" s="18">
        <v>3.0</v>
      </c>
      <c r="R4" s="18">
        <v>3.0</v>
      </c>
      <c r="S4" s="18">
        <v>3.0</v>
      </c>
      <c r="T4" s="19" t="s">
        <v>267</v>
      </c>
    </row>
    <row r="5" ht="24.0" customHeight="1">
      <c r="A5" s="17" t="s">
        <v>39</v>
      </c>
      <c r="B5" s="17" t="s">
        <v>25</v>
      </c>
      <c r="C5" s="17" t="s">
        <v>21</v>
      </c>
      <c r="D5" s="18">
        <v>3.0</v>
      </c>
      <c r="E5" s="18">
        <v>3.0</v>
      </c>
      <c r="F5" s="18">
        <v>3.0</v>
      </c>
      <c r="G5" s="18">
        <v>3.0</v>
      </c>
      <c r="H5" s="18">
        <v>3.0</v>
      </c>
      <c r="I5" s="18">
        <v>3.0</v>
      </c>
      <c r="J5" s="18">
        <v>3.0</v>
      </c>
      <c r="K5" s="18">
        <v>3.0</v>
      </c>
      <c r="L5" s="18">
        <v>2.0</v>
      </c>
      <c r="M5" s="18">
        <v>3.0</v>
      </c>
      <c r="N5" s="18">
        <v>3.0</v>
      </c>
      <c r="O5" s="18">
        <v>2.0</v>
      </c>
      <c r="P5" s="18">
        <v>2.0</v>
      </c>
      <c r="Q5" s="18">
        <v>3.0</v>
      </c>
      <c r="R5" s="18">
        <v>3.0</v>
      </c>
      <c r="S5" s="18">
        <v>3.0</v>
      </c>
      <c r="T5" s="19" t="s">
        <v>272</v>
      </c>
    </row>
    <row r="6" ht="24.0" customHeight="1">
      <c r="A6" s="17" t="s">
        <v>199</v>
      </c>
      <c r="B6" s="17" t="s">
        <v>200</v>
      </c>
      <c r="C6" s="17" t="s">
        <v>21</v>
      </c>
      <c r="D6" s="18">
        <v>2.0</v>
      </c>
      <c r="E6" s="18">
        <v>2.0</v>
      </c>
      <c r="F6" s="18">
        <v>2.0</v>
      </c>
      <c r="G6" s="18">
        <v>2.0</v>
      </c>
      <c r="H6" s="18">
        <v>2.0</v>
      </c>
      <c r="I6" s="18">
        <v>2.0</v>
      </c>
      <c r="J6" s="18">
        <v>2.0</v>
      </c>
      <c r="K6" s="18">
        <v>2.0</v>
      </c>
      <c r="L6" s="18">
        <v>1.0</v>
      </c>
      <c r="M6" s="18">
        <v>2.0</v>
      </c>
      <c r="N6" s="18">
        <v>2.0</v>
      </c>
      <c r="O6" s="18">
        <v>1.0</v>
      </c>
      <c r="P6" s="18">
        <v>1.0</v>
      </c>
      <c r="Q6" s="18">
        <v>2.0</v>
      </c>
      <c r="R6" s="18">
        <v>2.0</v>
      </c>
      <c r="S6" s="18">
        <v>2.0</v>
      </c>
      <c r="T6" s="19" t="s">
        <v>277</v>
      </c>
    </row>
    <row r="7" ht="24.0" customHeight="1">
      <c r="A7" s="17" t="s">
        <v>202</v>
      </c>
      <c r="B7" s="17" t="s">
        <v>200</v>
      </c>
      <c r="C7" s="17" t="s">
        <v>21</v>
      </c>
      <c r="D7" s="18">
        <v>2.0</v>
      </c>
      <c r="E7" s="18">
        <v>2.0</v>
      </c>
      <c r="F7" s="18">
        <v>2.0</v>
      </c>
      <c r="G7" s="18">
        <v>2.0</v>
      </c>
      <c r="H7" s="18">
        <v>2.0</v>
      </c>
      <c r="I7" s="18">
        <v>2.0</v>
      </c>
      <c r="J7" s="18">
        <v>2.0</v>
      </c>
      <c r="K7" s="18">
        <v>2.0</v>
      </c>
      <c r="L7" s="18">
        <v>1.0</v>
      </c>
      <c r="M7" s="18">
        <v>2.0</v>
      </c>
      <c r="N7" s="18">
        <v>2.0</v>
      </c>
      <c r="O7" s="18">
        <v>1.0</v>
      </c>
      <c r="P7" s="18">
        <v>1.0</v>
      </c>
      <c r="Q7" s="18">
        <v>2.0</v>
      </c>
      <c r="R7" s="18">
        <v>2.0</v>
      </c>
      <c r="S7" s="18">
        <v>2.0</v>
      </c>
      <c r="T7" s="19" t="s">
        <v>281</v>
      </c>
    </row>
    <row r="8" ht="24.0" customHeight="1">
      <c r="A8" s="17" t="s">
        <v>41</v>
      </c>
      <c r="B8" s="17" t="s">
        <v>42</v>
      </c>
      <c r="C8" s="17" t="s">
        <v>21</v>
      </c>
      <c r="D8" s="18">
        <v>3.0</v>
      </c>
      <c r="E8" s="18">
        <v>3.0</v>
      </c>
      <c r="F8" s="18">
        <v>3.0</v>
      </c>
      <c r="G8" s="18">
        <v>3.0</v>
      </c>
      <c r="H8" s="18">
        <v>3.0</v>
      </c>
      <c r="I8" s="18">
        <v>3.0</v>
      </c>
      <c r="J8" s="18">
        <v>3.0</v>
      </c>
      <c r="K8" s="18">
        <v>3.0</v>
      </c>
      <c r="L8" s="18">
        <v>2.0</v>
      </c>
      <c r="M8" s="18">
        <v>3.0</v>
      </c>
      <c r="N8" s="18">
        <v>3.0</v>
      </c>
      <c r="O8" s="18">
        <v>2.0</v>
      </c>
      <c r="P8" s="18">
        <v>2.0</v>
      </c>
      <c r="Q8" s="18">
        <v>3.0</v>
      </c>
      <c r="R8" s="18">
        <v>3.0</v>
      </c>
      <c r="S8" s="18">
        <v>3.0</v>
      </c>
      <c r="T8" s="19" t="s">
        <v>286</v>
      </c>
    </row>
    <row r="9" ht="24.0" customHeight="1">
      <c r="A9" s="17" t="s">
        <v>34</v>
      </c>
      <c r="B9" s="17" t="s">
        <v>20</v>
      </c>
      <c r="C9" s="17" t="s">
        <v>21</v>
      </c>
      <c r="D9" s="18">
        <v>3.0</v>
      </c>
      <c r="E9" s="18">
        <v>3.0</v>
      </c>
      <c r="F9" s="18">
        <v>3.0</v>
      </c>
      <c r="G9" s="18">
        <v>3.0</v>
      </c>
      <c r="H9" s="18">
        <v>3.0</v>
      </c>
      <c r="I9" s="18">
        <v>3.0</v>
      </c>
      <c r="J9" s="18">
        <v>3.0</v>
      </c>
      <c r="K9" s="18">
        <v>3.0</v>
      </c>
      <c r="L9" s="18">
        <v>2.0</v>
      </c>
      <c r="M9" s="18">
        <v>3.0</v>
      </c>
      <c r="N9" s="18">
        <v>3.0</v>
      </c>
      <c r="O9" s="18">
        <v>2.0</v>
      </c>
      <c r="P9" s="18">
        <v>2.0</v>
      </c>
      <c r="Q9" s="18">
        <v>3.0</v>
      </c>
      <c r="R9" s="18">
        <v>3.0</v>
      </c>
      <c r="S9" s="18">
        <v>3.0</v>
      </c>
      <c r="T9" s="19" t="s">
        <v>291</v>
      </c>
    </row>
    <row r="10" ht="24.0" customHeight="1">
      <c r="A10" s="17" t="s">
        <v>205</v>
      </c>
      <c r="B10" s="17" t="s">
        <v>20</v>
      </c>
      <c r="C10" s="17" t="s">
        <v>21</v>
      </c>
      <c r="D10" s="18">
        <v>3.0</v>
      </c>
      <c r="E10" s="18">
        <v>3.0</v>
      </c>
      <c r="F10" s="18">
        <v>3.0</v>
      </c>
      <c r="G10" s="18">
        <v>3.0</v>
      </c>
      <c r="H10" s="18">
        <v>3.0</v>
      </c>
      <c r="I10" s="18">
        <v>3.0</v>
      </c>
      <c r="J10" s="18">
        <v>3.0</v>
      </c>
      <c r="K10" s="18">
        <v>3.0</v>
      </c>
      <c r="L10" s="18">
        <v>2.0</v>
      </c>
      <c r="M10" s="18">
        <v>3.0</v>
      </c>
      <c r="N10" s="18">
        <v>3.0</v>
      </c>
      <c r="O10" s="18">
        <v>2.0</v>
      </c>
      <c r="P10" s="18">
        <v>2.0</v>
      </c>
      <c r="Q10" s="18">
        <v>3.0</v>
      </c>
      <c r="R10" s="18">
        <v>3.0</v>
      </c>
      <c r="S10" s="18">
        <v>3.0</v>
      </c>
      <c r="T10" s="19" t="s">
        <v>296</v>
      </c>
    </row>
    <row r="11" ht="24.0" customHeight="1">
      <c r="A11" s="17" t="s">
        <v>19</v>
      </c>
      <c r="B11" s="17" t="s">
        <v>20</v>
      </c>
      <c r="C11" s="17" t="s">
        <v>21</v>
      </c>
      <c r="D11" s="18">
        <v>2.0</v>
      </c>
      <c r="E11" s="18">
        <v>2.0</v>
      </c>
      <c r="F11" s="18">
        <v>2.0</v>
      </c>
      <c r="G11" s="18">
        <v>2.0</v>
      </c>
      <c r="H11" s="18">
        <v>2.0</v>
      </c>
      <c r="I11" s="18">
        <v>2.0</v>
      </c>
      <c r="J11" s="18">
        <v>2.0</v>
      </c>
      <c r="K11" s="18">
        <v>2.0</v>
      </c>
      <c r="L11" s="18">
        <v>1.0</v>
      </c>
      <c r="M11" s="18">
        <v>2.0</v>
      </c>
      <c r="N11" s="18">
        <v>2.0</v>
      </c>
      <c r="O11" s="18">
        <v>1.0</v>
      </c>
      <c r="P11" s="18">
        <v>1.0</v>
      </c>
      <c r="Q11" s="18">
        <v>2.0</v>
      </c>
      <c r="R11" s="18">
        <v>2.0</v>
      </c>
      <c r="S11" s="18">
        <v>2.0</v>
      </c>
      <c r="T11" s="19" t="s">
        <v>301</v>
      </c>
    </row>
    <row r="12" ht="24.0" customHeight="1">
      <c r="A12" s="17" t="s">
        <v>207</v>
      </c>
      <c r="B12" s="17" t="s">
        <v>208</v>
      </c>
      <c r="C12" s="17" t="s">
        <v>21</v>
      </c>
      <c r="D12" s="18">
        <v>2.0</v>
      </c>
      <c r="E12" s="18">
        <v>2.0</v>
      </c>
      <c r="F12" s="18">
        <v>2.0</v>
      </c>
      <c r="G12" s="18">
        <v>2.0</v>
      </c>
      <c r="H12" s="18">
        <v>2.0</v>
      </c>
      <c r="I12" s="18">
        <v>2.0</v>
      </c>
      <c r="J12" s="18">
        <v>2.0</v>
      </c>
      <c r="K12" s="18">
        <v>2.0</v>
      </c>
      <c r="L12" s="18">
        <v>1.0</v>
      </c>
      <c r="M12" s="18">
        <v>2.0</v>
      </c>
      <c r="N12" s="18">
        <v>2.0</v>
      </c>
      <c r="O12" s="18">
        <v>1.0</v>
      </c>
      <c r="P12" s="18">
        <v>1.0</v>
      </c>
      <c r="Q12" s="18">
        <v>2.0</v>
      </c>
      <c r="R12" s="18">
        <v>2.0</v>
      </c>
      <c r="S12" s="18">
        <v>2.0</v>
      </c>
      <c r="T12" s="19" t="s">
        <v>306</v>
      </c>
    </row>
    <row r="13" ht="24.0" customHeight="1">
      <c r="A13" s="17" t="s">
        <v>31</v>
      </c>
      <c r="B13" s="17" t="s">
        <v>32</v>
      </c>
      <c r="C13" s="17" t="s">
        <v>21</v>
      </c>
      <c r="D13" s="18">
        <v>3.0</v>
      </c>
      <c r="E13" s="18">
        <v>3.0</v>
      </c>
      <c r="F13" s="18">
        <v>3.0</v>
      </c>
      <c r="G13" s="18">
        <v>3.0</v>
      </c>
      <c r="H13" s="18">
        <v>3.0</v>
      </c>
      <c r="I13" s="18">
        <v>3.0</v>
      </c>
      <c r="J13" s="18">
        <v>3.0</v>
      </c>
      <c r="K13" s="18">
        <v>3.0</v>
      </c>
      <c r="L13" s="18">
        <v>2.0</v>
      </c>
      <c r="M13" s="18">
        <v>3.0</v>
      </c>
      <c r="N13" s="18">
        <v>3.0</v>
      </c>
      <c r="O13" s="18">
        <v>2.0</v>
      </c>
      <c r="P13" s="18">
        <v>2.0</v>
      </c>
      <c r="Q13" s="18">
        <v>3.0</v>
      </c>
      <c r="R13" s="18">
        <v>3.0</v>
      </c>
      <c r="S13" s="18">
        <v>3.0</v>
      </c>
      <c r="T13" s="19" t="s">
        <v>311</v>
      </c>
    </row>
    <row r="14" ht="24.0" customHeight="1">
      <c r="A14" s="17" t="s">
        <v>209</v>
      </c>
      <c r="B14" s="17" t="s">
        <v>210</v>
      </c>
      <c r="C14" s="17" t="s">
        <v>21</v>
      </c>
      <c r="D14" s="18">
        <v>3.0</v>
      </c>
      <c r="E14" s="18">
        <v>3.0</v>
      </c>
      <c r="F14" s="18">
        <v>3.0</v>
      </c>
      <c r="G14" s="18">
        <v>3.0</v>
      </c>
      <c r="H14" s="18">
        <v>3.0</v>
      </c>
      <c r="I14" s="18">
        <v>3.0</v>
      </c>
      <c r="J14" s="18">
        <v>3.0</v>
      </c>
      <c r="K14" s="18">
        <v>3.0</v>
      </c>
      <c r="L14" s="18">
        <v>2.0</v>
      </c>
      <c r="M14" s="18">
        <v>3.0</v>
      </c>
      <c r="N14" s="18">
        <v>3.0</v>
      </c>
      <c r="O14" s="18">
        <v>2.0</v>
      </c>
      <c r="P14" s="18">
        <v>2.0</v>
      </c>
      <c r="Q14" s="18">
        <v>3.0</v>
      </c>
      <c r="R14" s="18">
        <v>3.0</v>
      </c>
      <c r="S14" s="18">
        <v>3.0</v>
      </c>
      <c r="T14" s="19" t="s">
        <v>316</v>
      </c>
    </row>
    <row r="15" ht="24.0" customHeight="1">
      <c r="A15" s="17" t="s">
        <v>211</v>
      </c>
      <c r="B15" s="17" t="s">
        <v>212</v>
      </c>
      <c r="C15" s="17" t="s">
        <v>21</v>
      </c>
      <c r="D15" s="18">
        <v>3.0</v>
      </c>
      <c r="E15" s="18">
        <v>3.0</v>
      </c>
      <c r="F15" s="18">
        <v>3.0</v>
      </c>
      <c r="G15" s="18">
        <v>3.0</v>
      </c>
      <c r="H15" s="18">
        <v>3.0</v>
      </c>
      <c r="I15" s="18">
        <v>3.0</v>
      </c>
      <c r="J15" s="18">
        <v>3.0</v>
      </c>
      <c r="K15" s="18">
        <v>3.0</v>
      </c>
      <c r="L15" s="18">
        <v>2.0</v>
      </c>
      <c r="M15" s="18">
        <v>3.0</v>
      </c>
      <c r="N15" s="18">
        <v>3.0</v>
      </c>
      <c r="O15" s="18">
        <v>2.0</v>
      </c>
      <c r="P15" s="18">
        <v>2.0</v>
      </c>
      <c r="Q15" s="18">
        <v>3.0</v>
      </c>
      <c r="R15" s="18">
        <v>3.0</v>
      </c>
      <c r="S15" s="18">
        <v>3.0</v>
      </c>
      <c r="T15" s="19" t="s">
        <v>321</v>
      </c>
    </row>
    <row r="16" ht="24.0" customHeight="1">
      <c r="A16" s="17" t="s">
        <v>213</v>
      </c>
      <c r="B16" s="17" t="s">
        <v>214</v>
      </c>
      <c r="C16" s="17" t="s">
        <v>21</v>
      </c>
      <c r="D16" s="18">
        <v>2.0</v>
      </c>
      <c r="E16" s="18">
        <v>2.0</v>
      </c>
      <c r="F16" s="18">
        <v>2.0</v>
      </c>
      <c r="G16" s="18">
        <v>2.0</v>
      </c>
      <c r="H16" s="18">
        <v>2.0</v>
      </c>
      <c r="I16" s="18">
        <v>2.0</v>
      </c>
      <c r="J16" s="18">
        <v>2.0</v>
      </c>
      <c r="K16" s="18">
        <v>2.0</v>
      </c>
      <c r="L16" s="18">
        <v>1.0</v>
      </c>
      <c r="M16" s="18">
        <v>2.0</v>
      </c>
      <c r="N16" s="18">
        <v>2.0</v>
      </c>
      <c r="O16" s="18">
        <v>1.0</v>
      </c>
      <c r="P16" s="18">
        <v>1.0</v>
      </c>
      <c r="Q16" s="18">
        <v>2.0</v>
      </c>
      <c r="R16" s="18">
        <v>2.0</v>
      </c>
      <c r="S16" s="18">
        <v>2.0</v>
      </c>
      <c r="T16" s="19" t="s">
        <v>326</v>
      </c>
    </row>
    <row r="17" ht="24.0" customHeight="1">
      <c r="A17" s="17" t="s">
        <v>215</v>
      </c>
      <c r="B17" s="17" t="s">
        <v>216</v>
      </c>
      <c r="C17" s="17" t="s">
        <v>21</v>
      </c>
      <c r="D17" s="18">
        <v>2.0</v>
      </c>
      <c r="E17" s="18">
        <v>2.0</v>
      </c>
      <c r="F17" s="18">
        <v>2.0</v>
      </c>
      <c r="G17" s="18">
        <v>2.0</v>
      </c>
      <c r="H17" s="18">
        <v>2.0</v>
      </c>
      <c r="I17" s="18">
        <v>2.0</v>
      </c>
      <c r="J17" s="18">
        <v>2.0</v>
      </c>
      <c r="K17" s="18">
        <v>2.0</v>
      </c>
      <c r="L17" s="18">
        <v>1.0</v>
      </c>
      <c r="M17" s="18">
        <v>2.0</v>
      </c>
      <c r="N17" s="18">
        <v>2.0</v>
      </c>
      <c r="O17" s="18">
        <v>1.0</v>
      </c>
      <c r="P17" s="18">
        <v>1.0</v>
      </c>
      <c r="Q17" s="18">
        <v>2.0</v>
      </c>
      <c r="R17" s="18">
        <v>2.0</v>
      </c>
      <c r="S17" s="18">
        <v>2.0</v>
      </c>
      <c r="T17" s="19" t="s">
        <v>331</v>
      </c>
    </row>
    <row r="18" ht="24.0" customHeight="1">
      <c r="A18" s="17" t="s">
        <v>217</v>
      </c>
      <c r="B18" s="17" t="s">
        <v>218</v>
      </c>
      <c r="C18" s="17" t="s">
        <v>21</v>
      </c>
      <c r="D18" s="18">
        <v>1.0</v>
      </c>
      <c r="E18" s="18">
        <v>1.0</v>
      </c>
      <c r="F18" s="18">
        <v>1.0</v>
      </c>
      <c r="G18" s="18">
        <v>1.0</v>
      </c>
      <c r="H18" s="18">
        <v>1.0</v>
      </c>
      <c r="I18" s="18">
        <v>1.0</v>
      </c>
      <c r="J18" s="18">
        <v>1.0</v>
      </c>
      <c r="K18" s="18">
        <v>1.0</v>
      </c>
      <c r="L18" s="18">
        <v>0.0</v>
      </c>
      <c r="M18" s="18">
        <v>1.0</v>
      </c>
      <c r="N18" s="18">
        <v>1.0</v>
      </c>
      <c r="O18" s="18">
        <v>0.0</v>
      </c>
      <c r="P18" s="18">
        <v>0.0</v>
      </c>
      <c r="Q18" s="18">
        <v>1.0</v>
      </c>
      <c r="R18" s="18">
        <v>1.0</v>
      </c>
      <c r="S18" s="18">
        <v>1.0</v>
      </c>
      <c r="T18" s="19" t="s">
        <v>336</v>
      </c>
    </row>
    <row r="19" ht="24.0" customHeight="1">
      <c r="A19" s="17" t="s">
        <v>219</v>
      </c>
      <c r="B19" s="17" t="s">
        <v>220</v>
      </c>
      <c r="C19" s="17" t="s">
        <v>21</v>
      </c>
      <c r="D19" s="18">
        <v>1.0</v>
      </c>
      <c r="E19" s="18">
        <v>1.0</v>
      </c>
      <c r="F19" s="18">
        <v>1.0</v>
      </c>
      <c r="G19" s="18">
        <v>1.0</v>
      </c>
      <c r="H19" s="18">
        <v>1.0</v>
      </c>
      <c r="I19" s="18">
        <v>1.0</v>
      </c>
      <c r="J19" s="18">
        <v>1.0</v>
      </c>
      <c r="K19" s="18">
        <v>1.0</v>
      </c>
      <c r="L19" s="18">
        <v>0.0</v>
      </c>
      <c r="M19" s="18">
        <v>1.0</v>
      </c>
      <c r="N19" s="18">
        <v>1.0</v>
      </c>
      <c r="O19" s="18">
        <v>0.0</v>
      </c>
      <c r="P19" s="18">
        <v>0.0</v>
      </c>
      <c r="Q19" s="18">
        <v>1.0</v>
      </c>
      <c r="R19" s="18">
        <v>1.0</v>
      </c>
      <c r="S19" s="18">
        <v>1.0</v>
      </c>
      <c r="T19" s="19" t="s">
        <v>341</v>
      </c>
    </row>
    <row r="20" ht="24.0" customHeight="1">
      <c r="A20" s="17" t="s">
        <v>221</v>
      </c>
      <c r="B20" s="17" t="s">
        <v>222</v>
      </c>
      <c r="C20" s="17" t="s">
        <v>21</v>
      </c>
      <c r="D20" s="18">
        <v>2.0</v>
      </c>
      <c r="E20" s="18">
        <v>2.0</v>
      </c>
      <c r="F20" s="18">
        <v>2.0</v>
      </c>
      <c r="G20" s="18">
        <v>2.0</v>
      </c>
      <c r="H20" s="18">
        <v>2.0</v>
      </c>
      <c r="I20" s="18">
        <v>2.0</v>
      </c>
      <c r="J20" s="18">
        <v>2.0</v>
      </c>
      <c r="K20" s="18">
        <v>2.0</v>
      </c>
      <c r="L20" s="18">
        <v>1.0</v>
      </c>
      <c r="M20" s="18">
        <v>2.0</v>
      </c>
      <c r="N20" s="18">
        <v>2.0</v>
      </c>
      <c r="O20" s="18">
        <v>1.0</v>
      </c>
      <c r="P20" s="18">
        <v>1.0</v>
      </c>
      <c r="Q20" s="18">
        <v>2.0</v>
      </c>
      <c r="R20" s="18">
        <v>2.0</v>
      </c>
      <c r="S20" s="18">
        <v>2.0</v>
      </c>
      <c r="T20" s="19" t="s">
        <v>346</v>
      </c>
    </row>
    <row r="21" ht="24.0" customHeight="1">
      <c r="A21" s="17" t="s">
        <v>224</v>
      </c>
      <c r="B21" s="17" t="s">
        <v>225</v>
      </c>
      <c r="C21" s="17" t="s">
        <v>21</v>
      </c>
      <c r="D21" s="18">
        <v>3.0</v>
      </c>
      <c r="E21" s="18">
        <v>3.0</v>
      </c>
      <c r="F21" s="18">
        <v>3.0</v>
      </c>
      <c r="G21" s="18">
        <v>3.0</v>
      </c>
      <c r="H21" s="18">
        <v>3.0</v>
      </c>
      <c r="I21" s="18">
        <v>3.0</v>
      </c>
      <c r="J21" s="18">
        <v>3.0</v>
      </c>
      <c r="K21" s="18">
        <v>3.0</v>
      </c>
      <c r="L21" s="18">
        <v>2.0</v>
      </c>
      <c r="M21" s="18">
        <v>3.0</v>
      </c>
      <c r="N21" s="18">
        <v>3.0</v>
      </c>
      <c r="O21" s="18">
        <v>2.0</v>
      </c>
      <c r="P21" s="18">
        <v>2.0</v>
      </c>
      <c r="Q21" s="18">
        <v>3.0</v>
      </c>
      <c r="R21" s="18">
        <v>3.0</v>
      </c>
      <c r="S21" s="18">
        <v>3.0</v>
      </c>
      <c r="T21" s="19" t="s">
        <v>351</v>
      </c>
    </row>
    <row r="22" ht="24.0" customHeight="1">
      <c r="A22" s="17" t="s">
        <v>28</v>
      </c>
      <c r="B22" s="17" t="s">
        <v>29</v>
      </c>
      <c r="C22" s="17" t="s">
        <v>21</v>
      </c>
      <c r="D22" s="18">
        <v>3.0</v>
      </c>
      <c r="E22" s="18">
        <v>3.0</v>
      </c>
      <c r="F22" s="18">
        <v>3.0</v>
      </c>
      <c r="G22" s="18">
        <v>3.0</v>
      </c>
      <c r="H22" s="18">
        <v>3.0</v>
      </c>
      <c r="I22" s="18">
        <v>3.0</v>
      </c>
      <c r="J22" s="18">
        <v>3.0</v>
      </c>
      <c r="K22" s="18">
        <v>3.0</v>
      </c>
      <c r="L22" s="18">
        <v>2.0</v>
      </c>
      <c r="M22" s="18">
        <v>3.0</v>
      </c>
      <c r="N22" s="18">
        <v>3.0</v>
      </c>
      <c r="O22" s="18">
        <v>2.0</v>
      </c>
      <c r="P22" s="18">
        <v>2.0</v>
      </c>
      <c r="Q22" s="18">
        <v>3.0</v>
      </c>
      <c r="R22" s="18">
        <v>3.0</v>
      </c>
      <c r="S22" s="18">
        <v>3.0</v>
      </c>
      <c r="T22" s="19" t="s">
        <v>356</v>
      </c>
    </row>
    <row r="23" ht="24.0" customHeight="1">
      <c r="A23" s="17" t="s">
        <v>227</v>
      </c>
      <c r="B23" s="17" t="s">
        <v>228</v>
      </c>
      <c r="C23" s="17" t="s">
        <v>21</v>
      </c>
      <c r="D23" s="18">
        <v>3.0</v>
      </c>
      <c r="E23" s="18">
        <v>3.0</v>
      </c>
      <c r="F23" s="18">
        <v>3.0</v>
      </c>
      <c r="G23" s="18">
        <v>3.0</v>
      </c>
      <c r="H23" s="18">
        <v>3.0</v>
      </c>
      <c r="I23" s="18">
        <v>3.0</v>
      </c>
      <c r="J23" s="18">
        <v>3.0</v>
      </c>
      <c r="K23" s="18">
        <v>3.0</v>
      </c>
      <c r="L23" s="18">
        <v>2.0</v>
      </c>
      <c r="M23" s="18">
        <v>3.0</v>
      </c>
      <c r="N23" s="18">
        <v>3.0</v>
      </c>
      <c r="O23" s="18">
        <v>2.0</v>
      </c>
      <c r="P23" s="18">
        <v>2.0</v>
      </c>
      <c r="Q23" s="18">
        <v>3.0</v>
      </c>
      <c r="R23" s="18">
        <v>3.0</v>
      </c>
      <c r="S23" s="18">
        <v>3.0</v>
      </c>
      <c r="T23" s="19" t="s">
        <v>360</v>
      </c>
    </row>
    <row r="24" ht="24.0" customHeight="1">
      <c r="A24" s="17" t="s">
        <v>48</v>
      </c>
      <c r="B24" s="17" t="s">
        <v>49</v>
      </c>
      <c r="C24" s="17" t="s">
        <v>21</v>
      </c>
      <c r="D24" s="18">
        <v>3.0</v>
      </c>
      <c r="E24" s="18">
        <v>3.0</v>
      </c>
      <c r="F24" s="18">
        <v>3.0</v>
      </c>
      <c r="G24" s="18">
        <v>3.0</v>
      </c>
      <c r="H24" s="18">
        <v>3.0</v>
      </c>
      <c r="I24" s="18">
        <v>3.0</v>
      </c>
      <c r="J24" s="18">
        <v>3.0</v>
      </c>
      <c r="K24" s="18">
        <v>3.0</v>
      </c>
      <c r="L24" s="18">
        <v>2.0</v>
      </c>
      <c r="M24" s="18">
        <v>3.0</v>
      </c>
      <c r="N24" s="18">
        <v>3.0</v>
      </c>
      <c r="O24" s="18">
        <v>2.0</v>
      </c>
      <c r="P24" s="18">
        <v>2.0</v>
      </c>
      <c r="Q24" s="18">
        <v>3.0</v>
      </c>
      <c r="R24" s="18">
        <v>3.0</v>
      </c>
      <c r="S24" s="18">
        <v>3.0</v>
      </c>
      <c r="T24" s="19" t="s">
        <v>364</v>
      </c>
    </row>
    <row r="25" ht="24.0" customHeight="1">
      <c r="A25" s="17" t="s">
        <v>45</v>
      </c>
      <c r="B25" s="17" t="s">
        <v>46</v>
      </c>
      <c r="C25" s="17" t="s">
        <v>21</v>
      </c>
      <c r="D25" s="18">
        <v>3.0</v>
      </c>
      <c r="E25" s="18">
        <v>3.0</v>
      </c>
      <c r="F25" s="18">
        <v>3.0</v>
      </c>
      <c r="G25" s="18">
        <v>3.0</v>
      </c>
      <c r="H25" s="18">
        <v>3.0</v>
      </c>
      <c r="I25" s="18">
        <v>3.0</v>
      </c>
      <c r="J25" s="18">
        <v>3.0</v>
      </c>
      <c r="K25" s="18">
        <v>3.0</v>
      </c>
      <c r="L25" s="18">
        <v>2.0</v>
      </c>
      <c r="M25" s="18">
        <v>3.0</v>
      </c>
      <c r="N25" s="18">
        <v>3.0</v>
      </c>
      <c r="O25" s="18">
        <v>2.0</v>
      </c>
      <c r="P25" s="18">
        <v>2.0</v>
      </c>
      <c r="Q25" s="18">
        <v>3.0</v>
      </c>
      <c r="R25" s="18">
        <v>3.0</v>
      </c>
      <c r="S25" s="18">
        <v>3.0</v>
      </c>
      <c r="T25" s="19" t="s">
        <v>368</v>
      </c>
    </row>
    <row r="26" ht="24.0" customHeight="1">
      <c r="A26" s="17" t="s">
        <v>229</v>
      </c>
      <c r="B26" s="17" t="s">
        <v>230</v>
      </c>
      <c r="C26" s="17" t="s">
        <v>21</v>
      </c>
      <c r="D26" s="18">
        <v>2.0</v>
      </c>
      <c r="E26" s="18">
        <v>2.0</v>
      </c>
      <c r="F26" s="18">
        <v>2.0</v>
      </c>
      <c r="G26" s="18">
        <v>2.0</v>
      </c>
      <c r="H26" s="18">
        <v>2.0</v>
      </c>
      <c r="I26" s="18">
        <v>2.0</v>
      </c>
      <c r="J26" s="18">
        <v>2.0</v>
      </c>
      <c r="K26" s="18">
        <v>2.0</v>
      </c>
      <c r="L26" s="18">
        <v>1.0</v>
      </c>
      <c r="M26" s="18">
        <v>2.0</v>
      </c>
      <c r="N26" s="18">
        <v>2.0</v>
      </c>
      <c r="O26" s="18">
        <v>1.0</v>
      </c>
      <c r="P26" s="18">
        <v>1.0</v>
      </c>
      <c r="Q26" s="18">
        <v>2.0</v>
      </c>
      <c r="R26" s="18">
        <v>3.0</v>
      </c>
      <c r="S26" s="18">
        <v>2.0</v>
      </c>
      <c r="T26" s="19" t="s">
        <v>373</v>
      </c>
    </row>
    <row r="27" ht="24.0" customHeight="1">
      <c r="A27" s="17" t="s">
        <v>232</v>
      </c>
      <c r="B27" s="17" t="s">
        <v>233</v>
      </c>
      <c r="C27" s="17" t="s">
        <v>21</v>
      </c>
      <c r="D27" s="18">
        <v>2.0</v>
      </c>
      <c r="E27" s="18">
        <v>2.0</v>
      </c>
      <c r="F27" s="18">
        <v>2.0</v>
      </c>
      <c r="G27" s="18">
        <v>2.0</v>
      </c>
      <c r="H27" s="18">
        <v>2.0</v>
      </c>
      <c r="I27" s="18">
        <v>2.0</v>
      </c>
      <c r="J27" s="18">
        <v>2.0</v>
      </c>
      <c r="K27" s="18">
        <v>2.0</v>
      </c>
      <c r="L27" s="18">
        <v>1.0</v>
      </c>
      <c r="M27" s="18">
        <v>2.0</v>
      </c>
      <c r="N27" s="18">
        <v>2.0</v>
      </c>
      <c r="O27" s="18">
        <v>1.0</v>
      </c>
      <c r="P27" s="18">
        <v>1.0</v>
      </c>
      <c r="Q27" s="18">
        <v>2.0</v>
      </c>
      <c r="R27" s="18">
        <v>2.0</v>
      </c>
      <c r="S27" s="18">
        <v>2.0</v>
      </c>
      <c r="T27" s="19" t="s">
        <v>377</v>
      </c>
    </row>
    <row r="28" ht="24.0" customHeight="1">
      <c r="A28" s="17" t="s">
        <v>234</v>
      </c>
      <c r="B28" s="17" t="s">
        <v>235</v>
      </c>
      <c r="C28" s="17" t="s">
        <v>21</v>
      </c>
      <c r="D28" s="18">
        <v>2.0</v>
      </c>
      <c r="E28" s="18">
        <v>2.0</v>
      </c>
      <c r="F28" s="18">
        <v>2.0</v>
      </c>
      <c r="G28" s="18">
        <v>2.0</v>
      </c>
      <c r="H28" s="18">
        <v>2.0</v>
      </c>
      <c r="I28" s="18">
        <v>2.0</v>
      </c>
      <c r="J28" s="18">
        <v>2.0</v>
      </c>
      <c r="K28" s="18">
        <v>2.0</v>
      </c>
      <c r="L28" s="18">
        <v>1.0</v>
      </c>
      <c r="M28" s="18">
        <v>2.0</v>
      </c>
      <c r="N28" s="18">
        <v>2.0</v>
      </c>
      <c r="O28" s="18">
        <v>1.0</v>
      </c>
      <c r="P28" s="18">
        <v>1.0</v>
      </c>
      <c r="Q28" s="18">
        <v>2.0</v>
      </c>
      <c r="R28" s="18">
        <v>2.0</v>
      </c>
      <c r="S28" s="18">
        <v>2.0</v>
      </c>
      <c r="T28" s="19" t="s">
        <v>382</v>
      </c>
    </row>
    <row r="29" ht="24.0" customHeight="1">
      <c r="A29" s="17" t="s">
        <v>237</v>
      </c>
      <c r="B29" s="17" t="s">
        <v>238</v>
      </c>
      <c r="C29" s="17" t="s">
        <v>21</v>
      </c>
      <c r="D29" s="18">
        <v>2.0</v>
      </c>
      <c r="E29" s="18">
        <v>2.0</v>
      </c>
      <c r="F29" s="18">
        <v>2.0</v>
      </c>
      <c r="G29" s="18">
        <v>2.0</v>
      </c>
      <c r="H29" s="18">
        <v>2.0</v>
      </c>
      <c r="I29" s="18">
        <v>2.0</v>
      </c>
      <c r="J29" s="18">
        <v>2.0</v>
      </c>
      <c r="K29" s="18">
        <v>2.0</v>
      </c>
      <c r="L29" s="18">
        <v>1.0</v>
      </c>
      <c r="M29" s="18">
        <v>2.0</v>
      </c>
      <c r="N29" s="18">
        <v>2.0</v>
      </c>
      <c r="O29" s="18">
        <v>1.0</v>
      </c>
      <c r="P29" s="18">
        <v>1.0</v>
      </c>
      <c r="Q29" s="18">
        <v>2.0</v>
      </c>
      <c r="R29" s="18">
        <v>3.0</v>
      </c>
      <c r="S29" s="18">
        <v>2.0</v>
      </c>
      <c r="T29" s="19" t="s">
        <v>387</v>
      </c>
    </row>
    <row r="30" ht="24.0" customHeight="1">
      <c r="A30" s="17" t="s">
        <v>239</v>
      </c>
      <c r="B30" s="17" t="s">
        <v>240</v>
      </c>
      <c r="C30" s="17" t="s">
        <v>21</v>
      </c>
      <c r="D30" s="18">
        <v>2.0</v>
      </c>
      <c r="E30" s="18">
        <v>2.0</v>
      </c>
      <c r="F30" s="18">
        <v>2.0</v>
      </c>
      <c r="G30" s="18">
        <v>2.0</v>
      </c>
      <c r="H30" s="18">
        <v>2.0</v>
      </c>
      <c r="I30" s="18">
        <v>2.0</v>
      </c>
      <c r="J30" s="18">
        <v>2.0</v>
      </c>
      <c r="K30" s="18">
        <v>2.0</v>
      </c>
      <c r="L30" s="18">
        <v>1.0</v>
      </c>
      <c r="M30" s="18">
        <v>2.0</v>
      </c>
      <c r="N30" s="18">
        <v>2.0</v>
      </c>
      <c r="O30" s="18">
        <v>1.0</v>
      </c>
      <c r="P30" s="18">
        <v>1.0</v>
      </c>
      <c r="Q30" s="18">
        <v>2.0</v>
      </c>
      <c r="R30" s="18">
        <v>3.0</v>
      </c>
      <c r="S30" s="18">
        <v>2.0</v>
      </c>
      <c r="T30" s="19" t="s">
        <v>392</v>
      </c>
    </row>
    <row r="31" ht="24.0" customHeight="1">
      <c r="A31" s="17" t="s">
        <v>242</v>
      </c>
      <c r="B31" s="17" t="s">
        <v>243</v>
      </c>
      <c r="C31" s="17" t="s">
        <v>21</v>
      </c>
      <c r="D31" s="18">
        <v>3.0</v>
      </c>
      <c r="E31" s="18">
        <v>3.0</v>
      </c>
      <c r="F31" s="18">
        <v>3.0</v>
      </c>
      <c r="G31" s="18">
        <v>3.0</v>
      </c>
      <c r="H31" s="18">
        <v>3.0</v>
      </c>
      <c r="I31" s="18">
        <v>3.0</v>
      </c>
      <c r="J31" s="18">
        <v>3.0</v>
      </c>
      <c r="K31" s="18">
        <v>3.0</v>
      </c>
      <c r="L31" s="18">
        <v>2.0</v>
      </c>
      <c r="M31" s="18">
        <v>3.0</v>
      </c>
      <c r="N31" s="18">
        <v>3.0</v>
      </c>
      <c r="O31" s="18">
        <v>2.0</v>
      </c>
      <c r="P31" s="18">
        <v>2.0</v>
      </c>
      <c r="Q31" s="18">
        <v>3.0</v>
      </c>
      <c r="R31" s="18">
        <v>3.0</v>
      </c>
      <c r="S31" s="18">
        <v>3.0</v>
      </c>
      <c r="T31" s="19" t="s">
        <v>397</v>
      </c>
    </row>
    <row r="32" ht="24.0" customHeight="1">
      <c r="A32" s="17" t="s">
        <v>244</v>
      </c>
      <c r="B32" s="17" t="s">
        <v>245</v>
      </c>
      <c r="C32" s="17" t="s">
        <v>21</v>
      </c>
      <c r="D32" s="18">
        <v>1.0</v>
      </c>
      <c r="E32" s="18">
        <v>1.0</v>
      </c>
      <c r="F32" s="18">
        <v>1.0</v>
      </c>
      <c r="G32" s="18">
        <v>1.0</v>
      </c>
      <c r="H32" s="18">
        <v>1.0</v>
      </c>
      <c r="I32" s="18">
        <v>1.0</v>
      </c>
      <c r="J32" s="18">
        <v>1.0</v>
      </c>
      <c r="K32" s="18">
        <v>1.0</v>
      </c>
      <c r="L32" s="18">
        <v>0.0</v>
      </c>
      <c r="M32" s="18">
        <v>1.0</v>
      </c>
      <c r="N32" s="18">
        <v>1.0</v>
      </c>
      <c r="O32" s="18">
        <v>0.0</v>
      </c>
      <c r="P32" s="18">
        <v>0.0</v>
      </c>
      <c r="Q32" s="18">
        <v>1.0</v>
      </c>
      <c r="R32" s="18">
        <v>3.0</v>
      </c>
      <c r="S32" s="18">
        <v>1.0</v>
      </c>
      <c r="T32" s="19" t="s">
        <v>402</v>
      </c>
    </row>
    <row r="33" ht="24.0" customHeight="1">
      <c r="A33" s="17" t="s">
        <v>246</v>
      </c>
      <c r="B33" s="17" t="s">
        <v>247</v>
      </c>
      <c r="C33" s="17" t="s">
        <v>21</v>
      </c>
      <c r="D33" s="18">
        <v>2.0</v>
      </c>
      <c r="E33" s="18">
        <v>2.0</v>
      </c>
      <c r="F33" s="18">
        <v>2.0</v>
      </c>
      <c r="G33" s="18">
        <v>2.0</v>
      </c>
      <c r="H33" s="18">
        <v>2.0</v>
      </c>
      <c r="I33" s="18">
        <v>2.0</v>
      </c>
      <c r="J33" s="18">
        <v>2.0</v>
      </c>
      <c r="K33" s="18">
        <v>2.0</v>
      </c>
      <c r="L33" s="18">
        <v>1.0</v>
      </c>
      <c r="M33" s="18">
        <v>2.0</v>
      </c>
      <c r="N33" s="18">
        <v>2.0</v>
      </c>
      <c r="O33" s="18">
        <v>1.0</v>
      </c>
      <c r="P33" s="18">
        <v>1.0</v>
      </c>
      <c r="Q33" s="18">
        <v>2.0</v>
      </c>
      <c r="R33" s="18">
        <v>2.0</v>
      </c>
      <c r="S33" s="18">
        <v>2.0</v>
      </c>
      <c r="T33" s="19" t="s">
        <v>407</v>
      </c>
    </row>
    <row r="34" ht="24.0" customHeight="1">
      <c r="A34" s="17" t="s">
        <v>248</v>
      </c>
      <c r="B34" s="17" t="s">
        <v>249</v>
      </c>
      <c r="C34" s="17" t="s">
        <v>21</v>
      </c>
      <c r="D34" s="18">
        <v>2.0</v>
      </c>
      <c r="E34" s="18">
        <v>2.0</v>
      </c>
      <c r="F34" s="18">
        <v>2.0</v>
      </c>
      <c r="G34" s="18">
        <v>2.0</v>
      </c>
      <c r="H34" s="18">
        <v>2.0</v>
      </c>
      <c r="I34" s="18">
        <v>2.0</v>
      </c>
      <c r="J34" s="18">
        <v>2.0</v>
      </c>
      <c r="K34" s="18">
        <v>2.0</v>
      </c>
      <c r="L34" s="18">
        <v>1.0</v>
      </c>
      <c r="M34" s="18">
        <v>2.0</v>
      </c>
      <c r="N34" s="18">
        <v>2.0</v>
      </c>
      <c r="O34" s="18">
        <v>1.0</v>
      </c>
      <c r="P34" s="18">
        <v>1.0</v>
      </c>
      <c r="Q34" s="18">
        <v>2.0</v>
      </c>
      <c r="R34" s="18">
        <v>2.0</v>
      </c>
      <c r="S34" s="18">
        <v>2.0</v>
      </c>
      <c r="T34" s="19" t="s">
        <v>412</v>
      </c>
    </row>
    <row r="35" ht="24.0" customHeight="1">
      <c r="A35" s="17" t="s">
        <v>250</v>
      </c>
      <c r="B35" s="17" t="s">
        <v>251</v>
      </c>
      <c r="C35" s="17" t="s">
        <v>21</v>
      </c>
      <c r="D35" s="18">
        <v>1.0</v>
      </c>
      <c r="E35" s="18">
        <v>1.0</v>
      </c>
      <c r="F35" s="18">
        <v>1.0</v>
      </c>
      <c r="G35" s="18">
        <v>1.0</v>
      </c>
      <c r="H35" s="18">
        <v>1.0</v>
      </c>
      <c r="I35" s="18">
        <v>1.0</v>
      </c>
      <c r="J35" s="18">
        <v>1.0</v>
      </c>
      <c r="K35" s="18">
        <v>1.0</v>
      </c>
      <c r="L35" s="18">
        <v>0.0</v>
      </c>
      <c r="M35" s="18">
        <v>1.0</v>
      </c>
      <c r="N35" s="18">
        <v>1.0</v>
      </c>
      <c r="O35" s="18">
        <v>0.0</v>
      </c>
      <c r="P35" s="18">
        <v>0.0</v>
      </c>
      <c r="Q35" s="18">
        <v>1.0</v>
      </c>
      <c r="R35" s="18">
        <v>1.0</v>
      </c>
      <c r="S35" s="18">
        <v>1.0</v>
      </c>
      <c r="T35" s="19" t="s">
        <v>417</v>
      </c>
    </row>
    <row r="36" ht="24.0" customHeight="1">
      <c r="A36" s="17" t="s">
        <v>252</v>
      </c>
      <c r="B36" s="17" t="s">
        <v>253</v>
      </c>
      <c r="C36" s="17" t="s">
        <v>21</v>
      </c>
      <c r="D36" s="18">
        <v>2.0</v>
      </c>
      <c r="E36" s="18">
        <v>2.0</v>
      </c>
      <c r="F36" s="18">
        <v>2.0</v>
      </c>
      <c r="G36" s="18">
        <v>2.0</v>
      </c>
      <c r="H36" s="18">
        <v>2.0</v>
      </c>
      <c r="I36" s="18">
        <v>2.0</v>
      </c>
      <c r="J36" s="18">
        <v>2.0</v>
      </c>
      <c r="K36" s="18">
        <v>2.0</v>
      </c>
      <c r="L36" s="18">
        <v>1.0</v>
      </c>
      <c r="M36" s="18">
        <v>2.0</v>
      </c>
      <c r="N36" s="18">
        <v>2.0</v>
      </c>
      <c r="O36" s="18">
        <v>1.0</v>
      </c>
      <c r="P36" s="18">
        <v>1.0</v>
      </c>
      <c r="Q36" s="18">
        <v>2.0</v>
      </c>
      <c r="R36" s="18">
        <v>2.0</v>
      </c>
      <c r="S36" s="18">
        <v>2.0</v>
      </c>
      <c r="T36" s="19" t="s">
        <v>422</v>
      </c>
    </row>
    <row r="37" ht="24.0" customHeight="1">
      <c r="A37" s="17" t="s">
        <v>36</v>
      </c>
      <c r="B37" s="17" t="s">
        <v>37</v>
      </c>
      <c r="C37" s="17" t="s">
        <v>21</v>
      </c>
      <c r="D37" s="18">
        <v>2.0</v>
      </c>
      <c r="E37" s="18">
        <v>2.0</v>
      </c>
      <c r="F37" s="18">
        <v>2.0</v>
      </c>
      <c r="G37" s="18">
        <v>2.0</v>
      </c>
      <c r="H37" s="18">
        <v>2.0</v>
      </c>
      <c r="I37" s="18">
        <v>2.0</v>
      </c>
      <c r="J37" s="18">
        <v>2.0</v>
      </c>
      <c r="K37" s="18">
        <v>2.0</v>
      </c>
      <c r="L37" s="18">
        <v>1.0</v>
      </c>
      <c r="M37" s="18">
        <v>2.0</v>
      </c>
      <c r="N37" s="18">
        <v>2.0</v>
      </c>
      <c r="O37" s="18">
        <v>1.0</v>
      </c>
      <c r="P37" s="18">
        <v>1.0</v>
      </c>
      <c r="Q37" s="18">
        <v>2.0</v>
      </c>
      <c r="R37" s="18">
        <v>2.0</v>
      </c>
      <c r="S37" s="18">
        <v>2.0</v>
      </c>
      <c r="T37" s="19" t="s">
        <v>427</v>
      </c>
    </row>
    <row r="38" ht="24.0" customHeight="1">
      <c r="A38" s="17" t="s">
        <v>254</v>
      </c>
      <c r="B38" s="17" t="s">
        <v>255</v>
      </c>
      <c r="C38" s="17" t="s">
        <v>256</v>
      </c>
      <c r="D38" s="18">
        <v>1.0</v>
      </c>
      <c r="E38" s="18">
        <v>1.0</v>
      </c>
      <c r="F38" s="18">
        <v>1.0</v>
      </c>
      <c r="G38" s="18">
        <v>1.0</v>
      </c>
      <c r="H38" s="18">
        <v>1.0</v>
      </c>
      <c r="I38" s="18">
        <v>1.0</v>
      </c>
      <c r="J38" s="18">
        <v>1.0</v>
      </c>
      <c r="K38" s="18">
        <v>1.0</v>
      </c>
      <c r="L38" s="18">
        <v>0.0</v>
      </c>
      <c r="M38" s="18">
        <v>1.0</v>
      </c>
      <c r="N38" s="18">
        <v>1.0</v>
      </c>
      <c r="O38" s="18">
        <v>0.0</v>
      </c>
      <c r="P38" s="18">
        <v>0.0</v>
      </c>
      <c r="Q38" s="18">
        <v>1.0</v>
      </c>
      <c r="R38" s="18">
        <v>1.0</v>
      </c>
      <c r="S38" s="18">
        <v>0.0</v>
      </c>
      <c r="T38" s="19" t="s">
        <v>432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D5F6ABE-9EBD-4178-A9BB-4161EE60F122}" filter="1" showAutoFilter="1">
      <autoFilter ref="$A$3:$T$38"/>
    </customSheetView>
  </customSheetViews>
  <mergeCells count="1">
    <mergeCell ref="A1:H1"/>
  </mergeCells>
  <conditionalFormatting sqref="D4:S38">
    <cfRule type="cellIs" dxfId="5" priority="1" operator="equal">
      <formula>0</formula>
    </cfRule>
  </conditionalFormatting>
  <conditionalFormatting sqref="D4:S38">
    <cfRule type="cellIs" dxfId="6" priority="2" operator="equal">
      <formula>1</formula>
    </cfRule>
  </conditionalFormatting>
  <conditionalFormatting sqref="D4:S38">
    <cfRule type="cellIs" dxfId="7" priority="3" operator="equal">
      <formula>2</formula>
    </cfRule>
  </conditionalFormatting>
  <conditionalFormatting sqref="D4:S38">
    <cfRule type="cellIs" dxfId="8" priority="4" operator="equal">
      <formula>3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38.0"/>
    <col customWidth="1" min="3" max="3" width="18.0"/>
    <col customWidth="1" min="4" max="16" width="20.0"/>
    <col customWidth="1" min="17" max="17" width="55.0"/>
    <col customWidth="1" min="18" max="26" width="8.63"/>
  </cols>
  <sheetData>
    <row r="1" ht="27.75" customHeight="1">
      <c r="A1" s="1" t="s">
        <v>435</v>
      </c>
    </row>
    <row r="3">
      <c r="A3" s="16" t="s">
        <v>53</v>
      </c>
      <c r="B3" s="16" t="s">
        <v>14</v>
      </c>
      <c r="C3" s="16" t="s">
        <v>16</v>
      </c>
      <c r="D3" s="16" t="s">
        <v>183</v>
      </c>
      <c r="E3" s="16" t="s">
        <v>184</v>
      </c>
      <c r="F3" s="16" t="s">
        <v>185</v>
      </c>
      <c r="G3" s="16" t="s">
        <v>186</v>
      </c>
      <c r="H3" s="16" t="s">
        <v>187</v>
      </c>
      <c r="I3" s="16" t="s">
        <v>188</v>
      </c>
      <c r="J3" s="16" t="s">
        <v>189</v>
      </c>
      <c r="K3" s="16" t="s">
        <v>190</v>
      </c>
      <c r="L3" s="16" t="s">
        <v>191</v>
      </c>
      <c r="M3" s="16" t="s">
        <v>192</v>
      </c>
      <c r="N3" s="16" t="s">
        <v>193</v>
      </c>
      <c r="O3" s="16" t="s">
        <v>194</v>
      </c>
      <c r="P3" s="16" t="s">
        <v>195</v>
      </c>
      <c r="Q3" s="16" t="s">
        <v>434</v>
      </c>
    </row>
    <row r="4" ht="24.0" customHeight="1">
      <c r="A4" s="17" t="s">
        <v>24</v>
      </c>
      <c r="B4" s="17" t="s">
        <v>25</v>
      </c>
      <c r="C4" s="17" t="s">
        <v>21</v>
      </c>
      <c r="D4" s="18">
        <v>2.0</v>
      </c>
      <c r="E4" s="18">
        <v>2.0</v>
      </c>
      <c r="F4" s="18">
        <v>1.0</v>
      </c>
      <c r="G4" s="18">
        <v>2.0</v>
      </c>
      <c r="H4" s="18">
        <v>2.0</v>
      </c>
      <c r="I4" s="18">
        <v>2.0</v>
      </c>
      <c r="J4" s="18">
        <v>2.0</v>
      </c>
      <c r="K4" s="18">
        <v>2.0</v>
      </c>
      <c r="L4" s="18">
        <v>2.0</v>
      </c>
      <c r="M4" s="18">
        <v>2.0</v>
      </c>
      <c r="N4" s="18">
        <v>2.0</v>
      </c>
      <c r="O4" s="18">
        <v>1.0</v>
      </c>
      <c r="P4" s="18">
        <v>2.0</v>
      </c>
      <c r="Q4" s="19" t="s">
        <v>267</v>
      </c>
    </row>
    <row r="5" ht="24.0" customHeight="1">
      <c r="A5" s="17" t="s">
        <v>39</v>
      </c>
      <c r="B5" s="17" t="s">
        <v>25</v>
      </c>
      <c r="C5" s="17" t="s">
        <v>21</v>
      </c>
      <c r="D5" s="18">
        <v>1.0</v>
      </c>
      <c r="E5" s="18">
        <v>1.0</v>
      </c>
      <c r="F5" s="18">
        <v>1.0</v>
      </c>
      <c r="G5" s="18">
        <v>1.0</v>
      </c>
      <c r="H5" s="18">
        <v>1.0</v>
      </c>
      <c r="I5" s="18">
        <v>1.0</v>
      </c>
      <c r="J5" s="18">
        <v>1.0</v>
      </c>
      <c r="K5" s="18">
        <v>1.0</v>
      </c>
      <c r="L5" s="18">
        <v>0.0</v>
      </c>
      <c r="M5" s="18">
        <v>1.0</v>
      </c>
      <c r="N5" s="18">
        <v>1.0</v>
      </c>
      <c r="O5" s="18">
        <v>0.0</v>
      </c>
      <c r="P5" s="18">
        <v>1.0</v>
      </c>
      <c r="Q5" s="19" t="s">
        <v>272</v>
      </c>
    </row>
    <row r="6" ht="24.0" customHeight="1">
      <c r="A6" s="17" t="s">
        <v>199</v>
      </c>
      <c r="B6" s="17" t="s">
        <v>200</v>
      </c>
      <c r="C6" s="17" t="s">
        <v>21</v>
      </c>
      <c r="D6" s="18">
        <v>2.0</v>
      </c>
      <c r="E6" s="18">
        <v>2.0</v>
      </c>
      <c r="F6" s="18">
        <v>2.0</v>
      </c>
      <c r="G6" s="18">
        <v>2.0</v>
      </c>
      <c r="H6" s="18">
        <v>2.0</v>
      </c>
      <c r="I6" s="18">
        <v>2.0</v>
      </c>
      <c r="J6" s="18">
        <v>2.0</v>
      </c>
      <c r="K6" s="18">
        <v>2.0</v>
      </c>
      <c r="L6" s="18">
        <v>1.0</v>
      </c>
      <c r="M6" s="18">
        <v>2.0</v>
      </c>
      <c r="N6" s="18">
        <v>2.0</v>
      </c>
      <c r="O6" s="18">
        <v>1.0</v>
      </c>
      <c r="P6" s="18">
        <v>2.0</v>
      </c>
      <c r="Q6" s="19" t="s">
        <v>277</v>
      </c>
    </row>
    <row r="7" ht="24.0" customHeight="1">
      <c r="A7" s="17" t="s">
        <v>202</v>
      </c>
      <c r="B7" s="17" t="s">
        <v>200</v>
      </c>
      <c r="C7" s="17" t="s">
        <v>21</v>
      </c>
      <c r="D7" s="18">
        <v>3.0</v>
      </c>
      <c r="E7" s="18">
        <v>3.0</v>
      </c>
      <c r="F7" s="18">
        <v>3.0</v>
      </c>
      <c r="G7" s="18">
        <v>3.0</v>
      </c>
      <c r="H7" s="18">
        <v>1.0</v>
      </c>
      <c r="I7" s="18">
        <v>3.0</v>
      </c>
      <c r="J7" s="18">
        <v>3.0</v>
      </c>
      <c r="K7" s="18">
        <v>3.0</v>
      </c>
      <c r="L7" s="18">
        <v>2.0</v>
      </c>
      <c r="M7" s="18">
        <v>3.0</v>
      </c>
      <c r="N7" s="18">
        <v>3.0</v>
      </c>
      <c r="O7" s="18">
        <v>2.0</v>
      </c>
      <c r="P7" s="18">
        <v>3.0</v>
      </c>
      <c r="Q7" s="19" t="s">
        <v>281</v>
      </c>
    </row>
    <row r="8" ht="24.0" customHeight="1">
      <c r="A8" s="17" t="s">
        <v>41</v>
      </c>
      <c r="B8" s="17" t="s">
        <v>42</v>
      </c>
      <c r="C8" s="17" t="s">
        <v>21</v>
      </c>
      <c r="D8" s="18">
        <v>2.0</v>
      </c>
      <c r="E8" s="18">
        <v>2.0</v>
      </c>
      <c r="F8" s="18">
        <v>2.0</v>
      </c>
      <c r="G8" s="18">
        <v>2.0</v>
      </c>
      <c r="H8" s="18">
        <v>2.0</v>
      </c>
      <c r="I8" s="18">
        <v>2.0</v>
      </c>
      <c r="J8" s="18">
        <v>2.0</v>
      </c>
      <c r="K8" s="18">
        <v>2.0</v>
      </c>
      <c r="L8" s="18">
        <v>1.0</v>
      </c>
      <c r="M8" s="18">
        <v>2.0</v>
      </c>
      <c r="N8" s="18">
        <v>2.0</v>
      </c>
      <c r="O8" s="18">
        <v>1.0</v>
      </c>
      <c r="P8" s="18">
        <v>2.0</v>
      </c>
      <c r="Q8" s="19" t="s">
        <v>286</v>
      </c>
    </row>
    <row r="9" ht="24.0" customHeight="1">
      <c r="A9" s="17" t="s">
        <v>34</v>
      </c>
      <c r="B9" s="17" t="s">
        <v>20</v>
      </c>
      <c r="C9" s="17" t="s">
        <v>21</v>
      </c>
      <c r="D9" s="18">
        <v>3.0</v>
      </c>
      <c r="E9" s="18">
        <v>3.0</v>
      </c>
      <c r="F9" s="18">
        <v>3.0</v>
      </c>
      <c r="G9" s="18">
        <v>3.0</v>
      </c>
      <c r="H9" s="18">
        <v>3.0</v>
      </c>
      <c r="I9" s="18">
        <v>3.0</v>
      </c>
      <c r="J9" s="18">
        <v>3.0</v>
      </c>
      <c r="K9" s="18">
        <v>3.0</v>
      </c>
      <c r="L9" s="18">
        <v>3.0</v>
      </c>
      <c r="M9" s="18">
        <v>3.0</v>
      </c>
      <c r="N9" s="18">
        <v>3.0</v>
      </c>
      <c r="O9" s="18">
        <v>2.0</v>
      </c>
      <c r="P9" s="18">
        <v>3.0</v>
      </c>
      <c r="Q9" s="19" t="s">
        <v>291</v>
      </c>
    </row>
    <row r="10" ht="24.0" customHeight="1">
      <c r="A10" s="17" t="s">
        <v>205</v>
      </c>
      <c r="B10" s="17" t="s">
        <v>20</v>
      </c>
      <c r="C10" s="17" t="s">
        <v>21</v>
      </c>
      <c r="D10" s="18">
        <v>2.0</v>
      </c>
      <c r="E10" s="18">
        <v>2.0</v>
      </c>
      <c r="F10" s="18">
        <v>2.0</v>
      </c>
      <c r="G10" s="18">
        <v>2.0</v>
      </c>
      <c r="H10" s="18">
        <v>2.0</v>
      </c>
      <c r="I10" s="18">
        <v>2.0</v>
      </c>
      <c r="J10" s="18">
        <v>2.0</v>
      </c>
      <c r="K10" s="18">
        <v>2.0</v>
      </c>
      <c r="L10" s="18">
        <v>1.0</v>
      </c>
      <c r="M10" s="18">
        <v>2.0</v>
      </c>
      <c r="N10" s="18">
        <v>2.0</v>
      </c>
      <c r="O10" s="18">
        <v>1.0</v>
      </c>
      <c r="P10" s="18">
        <v>2.0</v>
      </c>
      <c r="Q10" s="19" t="s">
        <v>296</v>
      </c>
    </row>
    <row r="11" ht="24.0" customHeight="1">
      <c r="A11" s="17" t="s">
        <v>19</v>
      </c>
      <c r="B11" s="17" t="s">
        <v>20</v>
      </c>
      <c r="C11" s="17" t="s">
        <v>21</v>
      </c>
      <c r="D11" s="18">
        <v>3.0</v>
      </c>
      <c r="E11" s="18">
        <v>3.0</v>
      </c>
      <c r="F11" s="18">
        <v>3.0</v>
      </c>
      <c r="G11" s="18">
        <v>3.0</v>
      </c>
      <c r="H11" s="18">
        <v>3.0</v>
      </c>
      <c r="I11" s="18">
        <v>3.0</v>
      </c>
      <c r="J11" s="18">
        <v>3.0</v>
      </c>
      <c r="K11" s="18">
        <v>3.0</v>
      </c>
      <c r="L11" s="18">
        <v>2.0</v>
      </c>
      <c r="M11" s="18">
        <v>3.0</v>
      </c>
      <c r="N11" s="18">
        <v>3.0</v>
      </c>
      <c r="O11" s="18">
        <v>2.0</v>
      </c>
      <c r="P11" s="18">
        <v>3.0</v>
      </c>
      <c r="Q11" s="19" t="s">
        <v>301</v>
      </c>
    </row>
    <row r="12" ht="24.0" customHeight="1">
      <c r="A12" s="17" t="s">
        <v>207</v>
      </c>
      <c r="B12" s="17" t="s">
        <v>208</v>
      </c>
      <c r="C12" s="17" t="s">
        <v>21</v>
      </c>
      <c r="D12" s="18">
        <v>1.0</v>
      </c>
      <c r="E12" s="18">
        <v>1.0</v>
      </c>
      <c r="F12" s="18">
        <v>1.0</v>
      </c>
      <c r="G12" s="18">
        <v>1.0</v>
      </c>
      <c r="H12" s="18">
        <v>1.0</v>
      </c>
      <c r="I12" s="18">
        <v>1.0</v>
      </c>
      <c r="J12" s="18">
        <v>1.0</v>
      </c>
      <c r="K12" s="18">
        <v>1.0</v>
      </c>
      <c r="L12" s="18">
        <v>0.0</v>
      </c>
      <c r="M12" s="18">
        <v>1.0</v>
      </c>
      <c r="N12" s="18">
        <v>1.0</v>
      </c>
      <c r="O12" s="18">
        <v>0.0</v>
      </c>
      <c r="P12" s="18">
        <v>1.0</v>
      </c>
      <c r="Q12" s="19" t="s">
        <v>306</v>
      </c>
    </row>
    <row r="13" ht="24.0" customHeight="1">
      <c r="A13" s="17" t="s">
        <v>31</v>
      </c>
      <c r="B13" s="17" t="s">
        <v>32</v>
      </c>
      <c r="C13" s="17" t="s">
        <v>21</v>
      </c>
      <c r="D13" s="18">
        <v>3.0</v>
      </c>
      <c r="E13" s="18">
        <v>3.0</v>
      </c>
      <c r="F13" s="18">
        <v>3.0</v>
      </c>
      <c r="G13" s="18">
        <v>3.0</v>
      </c>
      <c r="H13" s="18">
        <v>3.0</v>
      </c>
      <c r="I13" s="18">
        <v>3.0</v>
      </c>
      <c r="J13" s="18">
        <v>3.0</v>
      </c>
      <c r="K13" s="18">
        <v>3.0</v>
      </c>
      <c r="L13" s="18">
        <v>2.0</v>
      </c>
      <c r="M13" s="18">
        <v>3.0</v>
      </c>
      <c r="N13" s="18">
        <v>3.0</v>
      </c>
      <c r="O13" s="18">
        <v>2.0</v>
      </c>
      <c r="P13" s="18">
        <v>3.0</v>
      </c>
      <c r="Q13" s="19" t="s">
        <v>311</v>
      </c>
    </row>
    <row r="14" ht="24.0" customHeight="1">
      <c r="A14" s="17" t="s">
        <v>209</v>
      </c>
      <c r="B14" s="17" t="s">
        <v>210</v>
      </c>
      <c r="C14" s="17" t="s">
        <v>21</v>
      </c>
      <c r="D14" s="18">
        <v>2.0</v>
      </c>
      <c r="E14" s="18">
        <v>2.0</v>
      </c>
      <c r="F14" s="18">
        <v>2.0</v>
      </c>
      <c r="G14" s="18">
        <v>2.0</v>
      </c>
      <c r="H14" s="18">
        <v>2.0</v>
      </c>
      <c r="I14" s="18">
        <v>2.0</v>
      </c>
      <c r="J14" s="18">
        <v>2.0</v>
      </c>
      <c r="K14" s="18">
        <v>2.0</v>
      </c>
      <c r="L14" s="18">
        <v>1.0</v>
      </c>
      <c r="M14" s="18">
        <v>2.0</v>
      </c>
      <c r="N14" s="18">
        <v>2.0</v>
      </c>
      <c r="O14" s="18">
        <v>1.0</v>
      </c>
      <c r="P14" s="18">
        <v>2.0</v>
      </c>
      <c r="Q14" s="19" t="s">
        <v>316</v>
      </c>
    </row>
    <row r="15" ht="24.0" customHeight="1">
      <c r="A15" s="17" t="s">
        <v>211</v>
      </c>
      <c r="B15" s="17" t="s">
        <v>212</v>
      </c>
      <c r="C15" s="17" t="s">
        <v>21</v>
      </c>
      <c r="D15" s="18">
        <v>3.0</v>
      </c>
      <c r="E15" s="18">
        <v>3.0</v>
      </c>
      <c r="F15" s="18">
        <v>3.0</v>
      </c>
      <c r="G15" s="18">
        <v>3.0</v>
      </c>
      <c r="H15" s="18">
        <v>3.0</v>
      </c>
      <c r="I15" s="18">
        <v>3.0</v>
      </c>
      <c r="J15" s="18">
        <v>3.0</v>
      </c>
      <c r="K15" s="18">
        <v>3.0</v>
      </c>
      <c r="L15" s="18">
        <v>2.0</v>
      </c>
      <c r="M15" s="18">
        <v>3.0</v>
      </c>
      <c r="N15" s="18">
        <v>3.0</v>
      </c>
      <c r="O15" s="18">
        <v>2.0</v>
      </c>
      <c r="P15" s="18">
        <v>3.0</v>
      </c>
      <c r="Q15" s="19" t="s">
        <v>321</v>
      </c>
    </row>
    <row r="16" ht="24.0" customHeight="1">
      <c r="A16" s="17" t="s">
        <v>213</v>
      </c>
      <c r="B16" s="17" t="s">
        <v>214</v>
      </c>
      <c r="C16" s="17" t="s">
        <v>21</v>
      </c>
      <c r="D16" s="18">
        <v>3.0</v>
      </c>
      <c r="E16" s="18">
        <v>3.0</v>
      </c>
      <c r="F16" s="18">
        <v>3.0</v>
      </c>
      <c r="G16" s="18">
        <v>3.0</v>
      </c>
      <c r="H16" s="18">
        <v>3.0</v>
      </c>
      <c r="I16" s="18">
        <v>3.0</v>
      </c>
      <c r="J16" s="18">
        <v>3.0</v>
      </c>
      <c r="K16" s="18">
        <v>3.0</v>
      </c>
      <c r="L16" s="18">
        <v>2.0</v>
      </c>
      <c r="M16" s="18">
        <v>3.0</v>
      </c>
      <c r="N16" s="18">
        <v>3.0</v>
      </c>
      <c r="O16" s="18">
        <v>2.0</v>
      </c>
      <c r="P16" s="18">
        <v>3.0</v>
      </c>
      <c r="Q16" s="19" t="s">
        <v>326</v>
      </c>
    </row>
    <row r="17" ht="24.0" customHeight="1">
      <c r="A17" s="17" t="s">
        <v>215</v>
      </c>
      <c r="B17" s="17" t="s">
        <v>216</v>
      </c>
      <c r="C17" s="17" t="s">
        <v>21</v>
      </c>
      <c r="D17" s="18">
        <v>2.0</v>
      </c>
      <c r="E17" s="18">
        <v>2.0</v>
      </c>
      <c r="F17" s="18">
        <v>2.0</v>
      </c>
      <c r="G17" s="18">
        <v>2.0</v>
      </c>
      <c r="H17" s="18">
        <v>2.0</v>
      </c>
      <c r="I17" s="18">
        <v>2.0</v>
      </c>
      <c r="J17" s="18">
        <v>2.0</v>
      </c>
      <c r="K17" s="18">
        <v>2.0</v>
      </c>
      <c r="L17" s="18">
        <v>1.0</v>
      </c>
      <c r="M17" s="18">
        <v>2.0</v>
      </c>
      <c r="N17" s="18">
        <v>2.0</v>
      </c>
      <c r="O17" s="18">
        <v>1.0</v>
      </c>
      <c r="P17" s="18">
        <v>2.0</v>
      </c>
      <c r="Q17" s="19" t="s">
        <v>331</v>
      </c>
    </row>
    <row r="18" ht="24.0" customHeight="1">
      <c r="A18" s="17" t="s">
        <v>217</v>
      </c>
      <c r="B18" s="17" t="s">
        <v>218</v>
      </c>
      <c r="C18" s="17" t="s">
        <v>21</v>
      </c>
      <c r="D18" s="18">
        <v>0.0</v>
      </c>
      <c r="E18" s="18">
        <v>0.0</v>
      </c>
      <c r="F18" s="18">
        <v>0.0</v>
      </c>
      <c r="G18" s="18">
        <v>0.0</v>
      </c>
      <c r="H18" s="18">
        <v>0.0</v>
      </c>
      <c r="I18" s="18">
        <v>0.0</v>
      </c>
      <c r="J18" s="18">
        <v>0.0</v>
      </c>
      <c r="K18" s="18">
        <v>0.0</v>
      </c>
      <c r="L18" s="18">
        <v>0.0</v>
      </c>
      <c r="M18" s="18">
        <v>0.0</v>
      </c>
      <c r="N18" s="18">
        <v>0.0</v>
      </c>
      <c r="O18" s="18">
        <v>0.0</v>
      </c>
      <c r="P18" s="18">
        <v>0.0</v>
      </c>
      <c r="Q18" s="19" t="s">
        <v>336</v>
      </c>
    </row>
    <row r="19" ht="24.0" customHeight="1">
      <c r="A19" s="17" t="s">
        <v>219</v>
      </c>
      <c r="B19" s="17" t="s">
        <v>220</v>
      </c>
      <c r="C19" s="17" t="s">
        <v>21</v>
      </c>
      <c r="D19" s="18">
        <v>1.0</v>
      </c>
      <c r="E19" s="18">
        <v>1.0</v>
      </c>
      <c r="F19" s="18">
        <v>1.0</v>
      </c>
      <c r="G19" s="18">
        <v>1.0</v>
      </c>
      <c r="H19" s="18">
        <v>1.0</v>
      </c>
      <c r="I19" s="18">
        <v>1.0</v>
      </c>
      <c r="J19" s="18">
        <v>1.0</v>
      </c>
      <c r="K19" s="18">
        <v>1.0</v>
      </c>
      <c r="L19" s="18">
        <v>0.0</v>
      </c>
      <c r="M19" s="18">
        <v>1.0</v>
      </c>
      <c r="N19" s="18">
        <v>1.0</v>
      </c>
      <c r="O19" s="18">
        <v>0.0</v>
      </c>
      <c r="P19" s="18">
        <v>1.0</v>
      </c>
      <c r="Q19" s="19" t="s">
        <v>341</v>
      </c>
    </row>
    <row r="20" ht="24.0" customHeight="1">
      <c r="A20" s="17" t="s">
        <v>221</v>
      </c>
      <c r="B20" s="17" t="s">
        <v>222</v>
      </c>
      <c r="C20" s="17" t="s">
        <v>21</v>
      </c>
      <c r="D20" s="18">
        <v>1.0</v>
      </c>
      <c r="E20" s="18">
        <v>1.0</v>
      </c>
      <c r="F20" s="18">
        <v>1.0</v>
      </c>
      <c r="G20" s="18">
        <v>1.0</v>
      </c>
      <c r="H20" s="18">
        <v>1.0</v>
      </c>
      <c r="I20" s="18">
        <v>1.0</v>
      </c>
      <c r="J20" s="18">
        <v>1.0</v>
      </c>
      <c r="K20" s="18">
        <v>1.0</v>
      </c>
      <c r="L20" s="18">
        <v>0.0</v>
      </c>
      <c r="M20" s="18">
        <v>1.0</v>
      </c>
      <c r="N20" s="18">
        <v>1.0</v>
      </c>
      <c r="O20" s="18">
        <v>0.0</v>
      </c>
      <c r="P20" s="18">
        <v>1.0</v>
      </c>
      <c r="Q20" s="19" t="s">
        <v>346</v>
      </c>
    </row>
    <row r="21" ht="24.0" customHeight="1">
      <c r="A21" s="17" t="s">
        <v>224</v>
      </c>
      <c r="B21" s="17" t="s">
        <v>225</v>
      </c>
      <c r="C21" s="17" t="s">
        <v>21</v>
      </c>
      <c r="D21" s="18">
        <v>1.0</v>
      </c>
      <c r="E21" s="18">
        <v>1.0</v>
      </c>
      <c r="F21" s="18">
        <v>1.0</v>
      </c>
      <c r="G21" s="18">
        <v>1.0</v>
      </c>
      <c r="H21" s="18">
        <v>1.0</v>
      </c>
      <c r="I21" s="18">
        <v>1.0</v>
      </c>
      <c r="J21" s="18">
        <v>1.0</v>
      </c>
      <c r="K21" s="18">
        <v>1.0</v>
      </c>
      <c r="L21" s="18">
        <v>0.0</v>
      </c>
      <c r="M21" s="18">
        <v>1.0</v>
      </c>
      <c r="N21" s="18">
        <v>1.0</v>
      </c>
      <c r="O21" s="18">
        <v>0.0</v>
      </c>
      <c r="P21" s="18">
        <v>1.0</v>
      </c>
      <c r="Q21" s="19" t="s">
        <v>351</v>
      </c>
    </row>
    <row r="22" ht="24.0" customHeight="1">
      <c r="A22" s="17" t="s">
        <v>28</v>
      </c>
      <c r="B22" s="17" t="s">
        <v>29</v>
      </c>
      <c r="C22" s="17" t="s">
        <v>21</v>
      </c>
      <c r="D22" s="18">
        <v>2.0</v>
      </c>
      <c r="E22" s="18">
        <v>2.0</v>
      </c>
      <c r="F22" s="18">
        <v>2.0</v>
      </c>
      <c r="G22" s="18">
        <v>2.0</v>
      </c>
      <c r="H22" s="18">
        <v>2.0</v>
      </c>
      <c r="I22" s="18">
        <v>2.0</v>
      </c>
      <c r="J22" s="18">
        <v>2.0</v>
      </c>
      <c r="K22" s="18">
        <v>2.0</v>
      </c>
      <c r="L22" s="18">
        <v>1.0</v>
      </c>
      <c r="M22" s="18">
        <v>2.0</v>
      </c>
      <c r="N22" s="18">
        <v>2.0</v>
      </c>
      <c r="O22" s="18">
        <v>1.0</v>
      </c>
      <c r="P22" s="18">
        <v>2.0</v>
      </c>
      <c r="Q22" s="19" t="s">
        <v>356</v>
      </c>
    </row>
    <row r="23" ht="24.0" customHeight="1">
      <c r="A23" s="17" t="s">
        <v>227</v>
      </c>
      <c r="B23" s="17" t="s">
        <v>228</v>
      </c>
      <c r="C23" s="17" t="s">
        <v>21</v>
      </c>
      <c r="D23" s="18">
        <v>2.0</v>
      </c>
      <c r="E23" s="18">
        <v>2.0</v>
      </c>
      <c r="F23" s="18">
        <v>2.0</v>
      </c>
      <c r="G23" s="18">
        <v>2.0</v>
      </c>
      <c r="H23" s="18">
        <v>2.0</v>
      </c>
      <c r="I23" s="18">
        <v>2.0</v>
      </c>
      <c r="J23" s="18">
        <v>2.0</v>
      </c>
      <c r="K23" s="18">
        <v>2.0</v>
      </c>
      <c r="L23" s="18">
        <v>1.0</v>
      </c>
      <c r="M23" s="18">
        <v>2.0</v>
      </c>
      <c r="N23" s="18">
        <v>2.0</v>
      </c>
      <c r="O23" s="18">
        <v>3.0</v>
      </c>
      <c r="P23" s="18">
        <v>2.0</v>
      </c>
      <c r="Q23" s="19" t="s">
        <v>360</v>
      </c>
    </row>
    <row r="24" ht="24.0" customHeight="1">
      <c r="A24" s="17" t="s">
        <v>48</v>
      </c>
      <c r="B24" s="17" t="s">
        <v>49</v>
      </c>
      <c r="C24" s="17" t="s">
        <v>21</v>
      </c>
      <c r="D24" s="18">
        <v>1.0</v>
      </c>
      <c r="E24" s="18">
        <v>1.0</v>
      </c>
      <c r="F24" s="18">
        <v>1.0</v>
      </c>
      <c r="G24" s="18">
        <v>1.0</v>
      </c>
      <c r="H24" s="18">
        <v>1.0</v>
      </c>
      <c r="I24" s="18">
        <v>1.0</v>
      </c>
      <c r="J24" s="18">
        <v>1.0</v>
      </c>
      <c r="K24" s="18">
        <v>1.0</v>
      </c>
      <c r="L24" s="18">
        <v>0.0</v>
      </c>
      <c r="M24" s="18">
        <v>1.0</v>
      </c>
      <c r="N24" s="18">
        <v>1.0</v>
      </c>
      <c r="O24" s="18">
        <v>0.0</v>
      </c>
      <c r="P24" s="18">
        <v>1.0</v>
      </c>
      <c r="Q24" s="19" t="s">
        <v>364</v>
      </c>
    </row>
    <row r="25" ht="24.0" customHeight="1">
      <c r="A25" s="17" t="s">
        <v>45</v>
      </c>
      <c r="B25" s="17" t="s">
        <v>46</v>
      </c>
      <c r="C25" s="17" t="s">
        <v>21</v>
      </c>
      <c r="D25" s="18">
        <v>1.0</v>
      </c>
      <c r="E25" s="18">
        <v>1.0</v>
      </c>
      <c r="F25" s="18">
        <v>1.0</v>
      </c>
      <c r="G25" s="18">
        <v>1.0</v>
      </c>
      <c r="H25" s="18">
        <v>1.0</v>
      </c>
      <c r="I25" s="18">
        <v>1.0</v>
      </c>
      <c r="J25" s="18">
        <v>1.0</v>
      </c>
      <c r="K25" s="18">
        <v>1.0</v>
      </c>
      <c r="L25" s="18">
        <v>0.0</v>
      </c>
      <c r="M25" s="18">
        <v>1.0</v>
      </c>
      <c r="N25" s="18">
        <v>1.0</v>
      </c>
      <c r="O25" s="18">
        <v>0.0</v>
      </c>
      <c r="P25" s="18">
        <v>1.0</v>
      </c>
      <c r="Q25" s="19" t="s">
        <v>368</v>
      </c>
    </row>
    <row r="26" ht="24.0" customHeight="1">
      <c r="A26" s="17" t="s">
        <v>229</v>
      </c>
      <c r="B26" s="17" t="s">
        <v>230</v>
      </c>
      <c r="C26" s="17" t="s">
        <v>21</v>
      </c>
      <c r="D26" s="18">
        <v>1.0</v>
      </c>
      <c r="E26" s="18">
        <v>1.0</v>
      </c>
      <c r="F26" s="18">
        <v>1.0</v>
      </c>
      <c r="G26" s="18">
        <v>1.0</v>
      </c>
      <c r="H26" s="18">
        <v>1.0</v>
      </c>
      <c r="I26" s="18">
        <v>1.0</v>
      </c>
      <c r="J26" s="18">
        <v>1.0</v>
      </c>
      <c r="K26" s="18">
        <v>1.0</v>
      </c>
      <c r="L26" s="18">
        <v>0.0</v>
      </c>
      <c r="M26" s="18">
        <v>1.0</v>
      </c>
      <c r="N26" s="18">
        <v>1.0</v>
      </c>
      <c r="O26" s="18">
        <v>0.0</v>
      </c>
      <c r="P26" s="18">
        <v>1.0</v>
      </c>
      <c r="Q26" s="19" t="s">
        <v>373</v>
      </c>
    </row>
    <row r="27" ht="24.0" customHeight="1">
      <c r="A27" s="17" t="s">
        <v>232</v>
      </c>
      <c r="B27" s="17" t="s">
        <v>233</v>
      </c>
      <c r="C27" s="17" t="s">
        <v>21</v>
      </c>
      <c r="D27" s="18">
        <v>1.0</v>
      </c>
      <c r="E27" s="18">
        <v>1.0</v>
      </c>
      <c r="F27" s="18">
        <v>1.0</v>
      </c>
      <c r="G27" s="18">
        <v>1.0</v>
      </c>
      <c r="H27" s="18">
        <v>1.0</v>
      </c>
      <c r="I27" s="18">
        <v>1.0</v>
      </c>
      <c r="J27" s="18">
        <v>1.0</v>
      </c>
      <c r="K27" s="18">
        <v>1.0</v>
      </c>
      <c r="L27" s="18">
        <v>0.0</v>
      </c>
      <c r="M27" s="18">
        <v>1.0</v>
      </c>
      <c r="N27" s="18">
        <v>1.0</v>
      </c>
      <c r="O27" s="18">
        <v>0.0</v>
      </c>
      <c r="P27" s="18">
        <v>1.0</v>
      </c>
      <c r="Q27" s="19" t="s">
        <v>377</v>
      </c>
    </row>
    <row r="28" ht="24.0" customHeight="1">
      <c r="A28" s="17" t="s">
        <v>234</v>
      </c>
      <c r="B28" s="17" t="s">
        <v>235</v>
      </c>
      <c r="C28" s="17" t="s">
        <v>21</v>
      </c>
      <c r="D28" s="18">
        <v>2.0</v>
      </c>
      <c r="E28" s="18">
        <v>2.0</v>
      </c>
      <c r="F28" s="18">
        <v>2.0</v>
      </c>
      <c r="G28" s="18">
        <v>2.0</v>
      </c>
      <c r="H28" s="18">
        <v>2.0</v>
      </c>
      <c r="I28" s="18">
        <v>2.0</v>
      </c>
      <c r="J28" s="18">
        <v>2.0</v>
      </c>
      <c r="K28" s="18">
        <v>2.0</v>
      </c>
      <c r="L28" s="18">
        <v>1.0</v>
      </c>
      <c r="M28" s="18">
        <v>2.0</v>
      </c>
      <c r="N28" s="18">
        <v>2.0</v>
      </c>
      <c r="O28" s="18">
        <v>1.0</v>
      </c>
      <c r="P28" s="18">
        <v>2.0</v>
      </c>
      <c r="Q28" s="19" t="s">
        <v>382</v>
      </c>
    </row>
    <row r="29" ht="24.0" customHeight="1">
      <c r="A29" s="17" t="s">
        <v>237</v>
      </c>
      <c r="B29" s="17" t="s">
        <v>238</v>
      </c>
      <c r="C29" s="17" t="s">
        <v>21</v>
      </c>
      <c r="D29" s="18">
        <v>3.0</v>
      </c>
      <c r="E29" s="18">
        <v>3.0</v>
      </c>
      <c r="F29" s="18">
        <v>3.0</v>
      </c>
      <c r="G29" s="18">
        <v>3.0</v>
      </c>
      <c r="H29" s="18">
        <v>3.0</v>
      </c>
      <c r="I29" s="18">
        <v>3.0</v>
      </c>
      <c r="J29" s="18">
        <v>3.0</v>
      </c>
      <c r="K29" s="18">
        <v>3.0</v>
      </c>
      <c r="L29" s="18">
        <v>2.0</v>
      </c>
      <c r="M29" s="18">
        <v>3.0</v>
      </c>
      <c r="N29" s="18">
        <v>3.0</v>
      </c>
      <c r="O29" s="18">
        <v>2.0</v>
      </c>
      <c r="P29" s="18">
        <v>3.0</v>
      </c>
      <c r="Q29" s="19" t="s">
        <v>387</v>
      </c>
    </row>
    <row r="30" ht="24.0" customHeight="1">
      <c r="A30" s="17" t="s">
        <v>239</v>
      </c>
      <c r="B30" s="17" t="s">
        <v>240</v>
      </c>
      <c r="C30" s="17" t="s">
        <v>21</v>
      </c>
      <c r="D30" s="18">
        <v>0.0</v>
      </c>
      <c r="E30" s="18">
        <v>0.0</v>
      </c>
      <c r="F30" s="18">
        <v>0.0</v>
      </c>
      <c r="G30" s="18">
        <v>0.0</v>
      </c>
      <c r="H30" s="18">
        <v>0.0</v>
      </c>
      <c r="I30" s="18">
        <v>0.0</v>
      </c>
      <c r="J30" s="18">
        <v>0.0</v>
      </c>
      <c r="K30" s="18">
        <v>0.0</v>
      </c>
      <c r="L30" s="18">
        <v>0.0</v>
      </c>
      <c r="M30" s="18">
        <v>0.0</v>
      </c>
      <c r="N30" s="18">
        <v>0.0</v>
      </c>
      <c r="O30" s="18">
        <v>0.0</v>
      </c>
      <c r="P30" s="18">
        <v>0.0</v>
      </c>
      <c r="Q30" s="19" t="s">
        <v>392</v>
      </c>
    </row>
    <row r="31" ht="24.0" customHeight="1">
      <c r="A31" s="17" t="s">
        <v>242</v>
      </c>
      <c r="B31" s="17" t="s">
        <v>243</v>
      </c>
      <c r="C31" s="17" t="s">
        <v>21</v>
      </c>
      <c r="D31" s="18">
        <v>0.0</v>
      </c>
      <c r="E31" s="18">
        <v>0.0</v>
      </c>
      <c r="F31" s="18">
        <v>0.0</v>
      </c>
      <c r="G31" s="18">
        <v>0.0</v>
      </c>
      <c r="H31" s="18">
        <v>0.0</v>
      </c>
      <c r="I31" s="18">
        <v>0.0</v>
      </c>
      <c r="J31" s="18">
        <v>0.0</v>
      </c>
      <c r="K31" s="18">
        <v>0.0</v>
      </c>
      <c r="L31" s="18">
        <v>0.0</v>
      </c>
      <c r="M31" s="18">
        <v>0.0</v>
      </c>
      <c r="N31" s="18">
        <v>0.0</v>
      </c>
      <c r="O31" s="18">
        <v>0.0</v>
      </c>
      <c r="P31" s="18">
        <v>0.0</v>
      </c>
      <c r="Q31" s="19" t="s">
        <v>397</v>
      </c>
    </row>
    <row r="32" ht="24.0" customHeight="1">
      <c r="A32" s="17" t="s">
        <v>244</v>
      </c>
      <c r="B32" s="17" t="s">
        <v>245</v>
      </c>
      <c r="C32" s="17" t="s">
        <v>21</v>
      </c>
      <c r="D32" s="18">
        <v>0.0</v>
      </c>
      <c r="E32" s="18">
        <v>0.0</v>
      </c>
      <c r="F32" s="18">
        <v>0.0</v>
      </c>
      <c r="G32" s="18">
        <v>0.0</v>
      </c>
      <c r="H32" s="18">
        <v>0.0</v>
      </c>
      <c r="I32" s="18">
        <v>0.0</v>
      </c>
      <c r="J32" s="18">
        <v>0.0</v>
      </c>
      <c r="K32" s="18">
        <v>0.0</v>
      </c>
      <c r="L32" s="18">
        <v>0.0</v>
      </c>
      <c r="M32" s="18">
        <v>0.0</v>
      </c>
      <c r="N32" s="18">
        <v>0.0</v>
      </c>
      <c r="O32" s="18">
        <v>0.0</v>
      </c>
      <c r="P32" s="18">
        <v>0.0</v>
      </c>
      <c r="Q32" s="19" t="s">
        <v>402</v>
      </c>
    </row>
    <row r="33" ht="24.0" customHeight="1">
      <c r="A33" s="17" t="s">
        <v>246</v>
      </c>
      <c r="B33" s="17" t="s">
        <v>247</v>
      </c>
      <c r="C33" s="17" t="s">
        <v>21</v>
      </c>
      <c r="D33" s="18">
        <v>2.0</v>
      </c>
      <c r="E33" s="18">
        <v>2.0</v>
      </c>
      <c r="F33" s="18">
        <v>2.0</v>
      </c>
      <c r="G33" s="18">
        <v>2.0</v>
      </c>
      <c r="H33" s="18">
        <v>2.0</v>
      </c>
      <c r="I33" s="18">
        <v>2.0</v>
      </c>
      <c r="J33" s="18">
        <v>2.0</v>
      </c>
      <c r="K33" s="18">
        <v>2.0</v>
      </c>
      <c r="L33" s="18">
        <v>1.0</v>
      </c>
      <c r="M33" s="18">
        <v>2.0</v>
      </c>
      <c r="N33" s="18">
        <v>2.0</v>
      </c>
      <c r="O33" s="18">
        <v>1.0</v>
      </c>
      <c r="P33" s="18">
        <v>2.0</v>
      </c>
      <c r="Q33" s="19" t="s">
        <v>407</v>
      </c>
    </row>
    <row r="34" ht="24.0" customHeight="1">
      <c r="A34" s="17" t="s">
        <v>248</v>
      </c>
      <c r="B34" s="17" t="s">
        <v>249</v>
      </c>
      <c r="C34" s="17" t="s">
        <v>21</v>
      </c>
      <c r="D34" s="18">
        <v>1.0</v>
      </c>
      <c r="E34" s="18">
        <v>1.0</v>
      </c>
      <c r="F34" s="18">
        <v>1.0</v>
      </c>
      <c r="G34" s="18">
        <v>1.0</v>
      </c>
      <c r="H34" s="18">
        <v>1.0</v>
      </c>
      <c r="I34" s="18">
        <v>1.0</v>
      </c>
      <c r="J34" s="18">
        <v>1.0</v>
      </c>
      <c r="K34" s="18">
        <v>1.0</v>
      </c>
      <c r="L34" s="18">
        <v>0.0</v>
      </c>
      <c r="M34" s="18">
        <v>1.0</v>
      </c>
      <c r="N34" s="18">
        <v>1.0</v>
      </c>
      <c r="O34" s="18">
        <v>0.0</v>
      </c>
      <c r="P34" s="18">
        <v>1.0</v>
      </c>
      <c r="Q34" s="19" t="s">
        <v>412</v>
      </c>
    </row>
    <row r="35" ht="24.0" customHeight="1">
      <c r="A35" s="17" t="s">
        <v>250</v>
      </c>
      <c r="B35" s="17" t="s">
        <v>251</v>
      </c>
      <c r="C35" s="17" t="s">
        <v>21</v>
      </c>
      <c r="D35" s="18">
        <v>3.0</v>
      </c>
      <c r="E35" s="18">
        <v>3.0</v>
      </c>
      <c r="F35" s="18">
        <v>3.0</v>
      </c>
      <c r="G35" s="18">
        <v>3.0</v>
      </c>
      <c r="H35" s="18">
        <v>3.0</v>
      </c>
      <c r="I35" s="18">
        <v>3.0</v>
      </c>
      <c r="J35" s="18">
        <v>3.0</v>
      </c>
      <c r="K35" s="18">
        <v>3.0</v>
      </c>
      <c r="L35" s="18">
        <v>2.0</v>
      </c>
      <c r="M35" s="18">
        <v>3.0</v>
      </c>
      <c r="N35" s="18">
        <v>3.0</v>
      </c>
      <c r="O35" s="18">
        <v>2.0</v>
      </c>
      <c r="P35" s="18">
        <v>3.0</v>
      </c>
      <c r="Q35" s="19" t="s">
        <v>417</v>
      </c>
    </row>
    <row r="36" ht="24.0" customHeight="1">
      <c r="A36" s="17" t="s">
        <v>252</v>
      </c>
      <c r="B36" s="17" t="s">
        <v>253</v>
      </c>
      <c r="C36" s="17" t="s">
        <v>21</v>
      </c>
      <c r="D36" s="18">
        <v>3.0</v>
      </c>
      <c r="E36" s="18">
        <v>3.0</v>
      </c>
      <c r="F36" s="18">
        <v>3.0</v>
      </c>
      <c r="G36" s="18">
        <v>3.0</v>
      </c>
      <c r="H36" s="18">
        <v>3.0</v>
      </c>
      <c r="I36" s="18">
        <v>3.0</v>
      </c>
      <c r="J36" s="18">
        <v>3.0</v>
      </c>
      <c r="K36" s="18">
        <v>3.0</v>
      </c>
      <c r="L36" s="18">
        <v>3.0</v>
      </c>
      <c r="M36" s="18">
        <v>3.0</v>
      </c>
      <c r="N36" s="18">
        <v>3.0</v>
      </c>
      <c r="O36" s="18">
        <v>2.0</v>
      </c>
      <c r="P36" s="18">
        <v>3.0</v>
      </c>
      <c r="Q36" s="19" t="s">
        <v>422</v>
      </c>
    </row>
    <row r="37" ht="24.0" customHeight="1">
      <c r="A37" s="17" t="s">
        <v>36</v>
      </c>
      <c r="B37" s="17" t="s">
        <v>37</v>
      </c>
      <c r="C37" s="17" t="s">
        <v>21</v>
      </c>
      <c r="D37" s="18">
        <v>3.0</v>
      </c>
      <c r="E37" s="18">
        <v>3.0</v>
      </c>
      <c r="F37" s="18">
        <v>3.0</v>
      </c>
      <c r="G37" s="18">
        <v>3.0</v>
      </c>
      <c r="H37" s="18">
        <v>3.0</v>
      </c>
      <c r="I37" s="18">
        <v>3.0</v>
      </c>
      <c r="J37" s="18">
        <v>3.0</v>
      </c>
      <c r="K37" s="18">
        <v>3.0</v>
      </c>
      <c r="L37" s="18">
        <v>2.0</v>
      </c>
      <c r="M37" s="18">
        <v>3.0</v>
      </c>
      <c r="N37" s="18">
        <v>3.0</v>
      </c>
      <c r="O37" s="18">
        <v>2.0</v>
      </c>
      <c r="P37" s="18">
        <v>3.0</v>
      </c>
      <c r="Q37" s="19" t="s">
        <v>427</v>
      </c>
    </row>
    <row r="38" ht="24.0" customHeight="1">
      <c r="A38" s="17" t="s">
        <v>254</v>
      </c>
      <c r="B38" s="17" t="s">
        <v>255</v>
      </c>
      <c r="C38" s="17" t="s">
        <v>256</v>
      </c>
      <c r="D38" s="18">
        <v>3.0</v>
      </c>
      <c r="E38" s="18">
        <v>3.0</v>
      </c>
      <c r="F38" s="18">
        <v>2.0</v>
      </c>
      <c r="G38" s="18">
        <v>3.0</v>
      </c>
      <c r="H38" s="18">
        <v>2.0</v>
      </c>
      <c r="I38" s="18">
        <v>2.0</v>
      </c>
      <c r="J38" s="18">
        <v>2.0</v>
      </c>
      <c r="K38" s="18">
        <v>2.0</v>
      </c>
      <c r="L38" s="18">
        <v>2.0</v>
      </c>
      <c r="M38" s="18">
        <v>2.0</v>
      </c>
      <c r="N38" s="18">
        <v>3.0</v>
      </c>
      <c r="O38" s="18">
        <v>2.0</v>
      </c>
      <c r="P38" s="18">
        <v>2.0</v>
      </c>
      <c r="Q38" s="19" t="s">
        <v>432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F6C6EE2-70D0-4358-A8BE-847902D97E3A}" filter="1" showAutoFilter="1">
      <autoFilter ref="$A$3:$Q$38"/>
    </customSheetView>
  </customSheetViews>
  <mergeCells count="1">
    <mergeCell ref="A1:H1"/>
  </mergeCells>
  <conditionalFormatting sqref="D4:P38">
    <cfRule type="cellIs" dxfId="5" priority="1" operator="equal">
      <formula>0</formula>
    </cfRule>
  </conditionalFormatting>
  <conditionalFormatting sqref="D4:P38">
    <cfRule type="cellIs" dxfId="6" priority="2" operator="equal">
      <formula>1</formula>
    </cfRule>
  </conditionalFormatting>
  <conditionalFormatting sqref="D4:P38">
    <cfRule type="cellIs" dxfId="7" priority="3" operator="equal">
      <formula>2</formula>
    </cfRule>
  </conditionalFormatting>
  <conditionalFormatting sqref="D4:P38">
    <cfRule type="cellIs" dxfId="8" priority="4" operator="equal">
      <formula>3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38.0"/>
    <col customWidth="1" min="3" max="3" width="18.0"/>
    <col customWidth="1" min="4" max="27" width="20.0"/>
    <col customWidth="1" min="28" max="28" width="55.0"/>
  </cols>
  <sheetData>
    <row r="1" ht="27.75" customHeight="1">
      <c r="A1" s="1" t="s">
        <v>436</v>
      </c>
    </row>
    <row r="3">
      <c r="A3" s="16" t="s">
        <v>53</v>
      </c>
      <c r="B3" s="16" t="s">
        <v>14</v>
      </c>
      <c r="C3" s="16" t="s">
        <v>16</v>
      </c>
      <c r="D3" s="16" t="s">
        <v>159</v>
      </c>
      <c r="E3" s="16" t="s">
        <v>160</v>
      </c>
      <c r="F3" s="16" t="s">
        <v>161</v>
      </c>
      <c r="G3" s="16" t="s">
        <v>162</v>
      </c>
      <c r="H3" s="16" t="s">
        <v>163</v>
      </c>
      <c r="I3" s="16" t="s">
        <v>164</v>
      </c>
      <c r="J3" s="16" t="s">
        <v>165</v>
      </c>
      <c r="K3" s="16" t="s">
        <v>166</v>
      </c>
      <c r="L3" s="16" t="s">
        <v>167</v>
      </c>
      <c r="M3" s="16" t="s">
        <v>168</v>
      </c>
      <c r="N3" s="16" t="s">
        <v>169</v>
      </c>
      <c r="O3" s="16" t="s">
        <v>170</v>
      </c>
      <c r="P3" s="16" t="s">
        <v>171</v>
      </c>
      <c r="Q3" s="16" t="s">
        <v>172</v>
      </c>
      <c r="R3" s="16" t="s">
        <v>173</v>
      </c>
      <c r="S3" s="16" t="s">
        <v>174</v>
      </c>
      <c r="T3" s="16" t="s">
        <v>175</v>
      </c>
      <c r="U3" s="16" t="s">
        <v>176</v>
      </c>
      <c r="V3" s="16" t="s">
        <v>177</v>
      </c>
      <c r="W3" s="16" t="s">
        <v>178</v>
      </c>
      <c r="X3" s="16" t="s">
        <v>179</v>
      </c>
      <c r="Y3" s="16" t="s">
        <v>180</v>
      </c>
      <c r="Z3" s="16" t="s">
        <v>181</v>
      </c>
      <c r="AA3" s="16" t="s">
        <v>182</v>
      </c>
      <c r="AB3" s="16" t="s">
        <v>434</v>
      </c>
    </row>
    <row r="4" ht="24.0" customHeight="1">
      <c r="A4" s="17" t="s">
        <v>24</v>
      </c>
      <c r="B4" s="17" t="s">
        <v>25</v>
      </c>
      <c r="C4" s="17" t="s">
        <v>21</v>
      </c>
      <c r="D4" s="18">
        <v>3.0</v>
      </c>
      <c r="E4" s="18">
        <v>3.0</v>
      </c>
      <c r="F4" s="18">
        <v>3.0</v>
      </c>
      <c r="G4" s="18">
        <v>3.0</v>
      </c>
      <c r="H4" s="18">
        <v>3.0</v>
      </c>
      <c r="I4" s="18">
        <v>3.0</v>
      </c>
      <c r="J4" s="18">
        <v>3.0</v>
      </c>
      <c r="K4" s="18">
        <v>3.0</v>
      </c>
      <c r="L4" s="18">
        <v>3.0</v>
      </c>
      <c r="M4" s="18">
        <v>2.0</v>
      </c>
      <c r="N4" s="18">
        <v>3.0</v>
      </c>
      <c r="O4" s="18">
        <v>3.0</v>
      </c>
      <c r="P4" s="18">
        <v>3.0</v>
      </c>
      <c r="Q4" s="18">
        <v>3.0</v>
      </c>
      <c r="R4" s="18">
        <v>3.0</v>
      </c>
      <c r="S4" s="18">
        <v>3.0</v>
      </c>
      <c r="T4" s="18">
        <v>3.0</v>
      </c>
      <c r="U4" s="18">
        <v>3.0</v>
      </c>
      <c r="V4" s="18">
        <v>3.0</v>
      </c>
      <c r="W4" s="18">
        <v>3.0</v>
      </c>
      <c r="X4" s="18">
        <v>3.0</v>
      </c>
      <c r="Y4" s="18">
        <v>3.0</v>
      </c>
      <c r="Z4" s="18">
        <v>3.0</v>
      </c>
      <c r="AA4" s="18">
        <v>3.0</v>
      </c>
      <c r="AB4" s="19" t="s">
        <v>267</v>
      </c>
    </row>
    <row r="5" ht="24.0" customHeight="1">
      <c r="A5" s="17" t="s">
        <v>39</v>
      </c>
      <c r="B5" s="17" t="s">
        <v>25</v>
      </c>
      <c r="C5" s="17" t="s">
        <v>21</v>
      </c>
      <c r="D5" s="18">
        <v>3.0</v>
      </c>
      <c r="E5" s="18">
        <v>3.0</v>
      </c>
      <c r="F5" s="18">
        <v>3.0</v>
      </c>
      <c r="G5" s="18">
        <v>3.0</v>
      </c>
      <c r="H5" s="18">
        <v>3.0</v>
      </c>
      <c r="I5" s="18">
        <v>3.0</v>
      </c>
      <c r="J5" s="18">
        <v>3.0</v>
      </c>
      <c r="K5" s="18">
        <v>3.0</v>
      </c>
      <c r="L5" s="18">
        <v>3.0</v>
      </c>
      <c r="M5" s="18">
        <v>0.0</v>
      </c>
      <c r="N5" s="18">
        <v>3.0</v>
      </c>
      <c r="O5" s="18">
        <v>3.0</v>
      </c>
      <c r="P5" s="18">
        <v>3.0</v>
      </c>
      <c r="Q5" s="18">
        <v>3.0</v>
      </c>
      <c r="R5" s="18">
        <v>2.0</v>
      </c>
      <c r="S5" s="18">
        <v>3.0</v>
      </c>
      <c r="T5" s="18">
        <v>2.0</v>
      </c>
      <c r="U5" s="18">
        <v>2.0</v>
      </c>
      <c r="V5" s="18">
        <v>2.0</v>
      </c>
      <c r="W5" s="18">
        <v>2.0</v>
      </c>
      <c r="X5" s="18">
        <v>2.0</v>
      </c>
      <c r="Y5" s="18">
        <v>2.0</v>
      </c>
      <c r="Z5" s="18">
        <v>2.0</v>
      </c>
      <c r="AA5" s="18">
        <v>2.0</v>
      </c>
      <c r="AB5" s="19" t="s">
        <v>272</v>
      </c>
    </row>
    <row r="6" ht="24.0" customHeight="1">
      <c r="A6" s="17" t="s">
        <v>199</v>
      </c>
      <c r="B6" s="17" t="s">
        <v>200</v>
      </c>
      <c r="C6" s="17" t="s">
        <v>21</v>
      </c>
      <c r="D6" s="18">
        <v>3.0</v>
      </c>
      <c r="E6" s="18">
        <v>3.0</v>
      </c>
      <c r="F6" s="18">
        <v>3.0</v>
      </c>
      <c r="G6" s="18">
        <v>3.0</v>
      </c>
      <c r="H6" s="18">
        <v>3.0</v>
      </c>
      <c r="I6" s="18">
        <v>3.0</v>
      </c>
      <c r="J6" s="18">
        <v>3.0</v>
      </c>
      <c r="K6" s="18">
        <v>3.0</v>
      </c>
      <c r="L6" s="18">
        <v>3.0</v>
      </c>
      <c r="M6" s="18">
        <v>3.0</v>
      </c>
      <c r="N6" s="18">
        <v>3.0</v>
      </c>
      <c r="O6" s="18">
        <v>3.0</v>
      </c>
      <c r="P6" s="18">
        <v>3.0</v>
      </c>
      <c r="Q6" s="18">
        <v>3.0</v>
      </c>
      <c r="R6" s="18">
        <v>3.0</v>
      </c>
      <c r="S6" s="18">
        <v>3.0</v>
      </c>
      <c r="T6" s="18">
        <v>3.0</v>
      </c>
      <c r="U6" s="18">
        <v>3.0</v>
      </c>
      <c r="V6" s="18">
        <v>3.0</v>
      </c>
      <c r="W6" s="18">
        <v>3.0</v>
      </c>
      <c r="X6" s="18">
        <v>3.0</v>
      </c>
      <c r="Y6" s="18">
        <v>3.0</v>
      </c>
      <c r="Z6" s="18">
        <v>3.0</v>
      </c>
      <c r="AA6" s="18">
        <v>3.0</v>
      </c>
      <c r="AB6" s="19" t="s">
        <v>277</v>
      </c>
    </row>
    <row r="7" ht="24.0" customHeight="1">
      <c r="A7" s="17" t="s">
        <v>202</v>
      </c>
      <c r="B7" s="17" t="s">
        <v>200</v>
      </c>
      <c r="C7" s="17" t="s">
        <v>21</v>
      </c>
      <c r="D7" s="18">
        <v>3.0</v>
      </c>
      <c r="E7" s="18">
        <v>3.0</v>
      </c>
      <c r="F7" s="18">
        <v>3.0</v>
      </c>
      <c r="G7" s="18">
        <v>3.0</v>
      </c>
      <c r="H7" s="18">
        <v>3.0</v>
      </c>
      <c r="I7" s="18">
        <v>3.0</v>
      </c>
      <c r="J7" s="18">
        <v>3.0</v>
      </c>
      <c r="K7" s="18">
        <v>3.0</v>
      </c>
      <c r="L7" s="18">
        <v>3.0</v>
      </c>
      <c r="M7" s="18">
        <v>3.0</v>
      </c>
      <c r="N7" s="18">
        <v>3.0</v>
      </c>
      <c r="O7" s="18">
        <v>3.0</v>
      </c>
      <c r="P7" s="18">
        <v>3.0</v>
      </c>
      <c r="Q7" s="18">
        <v>3.0</v>
      </c>
      <c r="R7" s="18">
        <v>3.0</v>
      </c>
      <c r="S7" s="18">
        <v>3.0</v>
      </c>
      <c r="T7" s="18">
        <v>3.0</v>
      </c>
      <c r="U7" s="18">
        <v>3.0</v>
      </c>
      <c r="V7" s="18">
        <v>3.0</v>
      </c>
      <c r="W7" s="18">
        <v>3.0</v>
      </c>
      <c r="X7" s="18">
        <v>3.0</v>
      </c>
      <c r="Y7" s="18">
        <v>3.0</v>
      </c>
      <c r="Z7" s="18">
        <v>3.0</v>
      </c>
      <c r="AA7" s="18">
        <v>3.0</v>
      </c>
      <c r="AB7" s="19" t="s">
        <v>281</v>
      </c>
    </row>
    <row r="8" ht="24.0" customHeight="1">
      <c r="A8" s="17" t="s">
        <v>41</v>
      </c>
      <c r="B8" s="17" t="s">
        <v>42</v>
      </c>
      <c r="C8" s="17" t="s">
        <v>21</v>
      </c>
      <c r="D8" s="18">
        <v>3.0</v>
      </c>
      <c r="E8" s="18">
        <v>3.0</v>
      </c>
      <c r="F8" s="18">
        <v>3.0</v>
      </c>
      <c r="G8" s="18">
        <v>3.0</v>
      </c>
      <c r="H8" s="18">
        <v>3.0</v>
      </c>
      <c r="I8" s="18">
        <v>3.0</v>
      </c>
      <c r="J8" s="18">
        <v>3.0</v>
      </c>
      <c r="K8" s="18">
        <v>3.0</v>
      </c>
      <c r="L8" s="18">
        <v>3.0</v>
      </c>
      <c r="M8" s="18">
        <v>3.0</v>
      </c>
      <c r="N8" s="18">
        <v>3.0</v>
      </c>
      <c r="O8" s="18">
        <v>3.0</v>
      </c>
      <c r="P8" s="18">
        <v>3.0</v>
      </c>
      <c r="Q8" s="18">
        <v>3.0</v>
      </c>
      <c r="R8" s="18">
        <v>2.0</v>
      </c>
      <c r="S8" s="18">
        <v>3.0</v>
      </c>
      <c r="T8" s="18">
        <v>2.0</v>
      </c>
      <c r="U8" s="18">
        <v>2.0</v>
      </c>
      <c r="V8" s="18">
        <v>2.0</v>
      </c>
      <c r="W8" s="18">
        <v>2.0</v>
      </c>
      <c r="X8" s="18">
        <v>2.0</v>
      </c>
      <c r="Y8" s="18">
        <v>2.0</v>
      </c>
      <c r="Z8" s="18">
        <v>2.0</v>
      </c>
      <c r="AA8" s="18">
        <v>2.0</v>
      </c>
      <c r="AB8" s="19" t="s">
        <v>286</v>
      </c>
    </row>
    <row r="9" ht="24.0" customHeight="1">
      <c r="A9" s="17" t="s">
        <v>34</v>
      </c>
      <c r="B9" s="17" t="s">
        <v>20</v>
      </c>
      <c r="C9" s="17" t="s">
        <v>21</v>
      </c>
      <c r="D9" s="18">
        <v>1.0</v>
      </c>
      <c r="E9" s="18">
        <v>1.0</v>
      </c>
      <c r="F9" s="18">
        <v>1.0</v>
      </c>
      <c r="G9" s="18">
        <v>1.0</v>
      </c>
      <c r="H9" s="18">
        <v>1.0</v>
      </c>
      <c r="I9" s="18">
        <v>1.0</v>
      </c>
      <c r="J9" s="18">
        <v>1.0</v>
      </c>
      <c r="K9" s="18">
        <v>1.0</v>
      </c>
      <c r="L9" s="18">
        <v>2.0</v>
      </c>
      <c r="M9" s="18">
        <v>0.0</v>
      </c>
      <c r="N9" s="18">
        <v>1.0</v>
      </c>
      <c r="O9" s="18">
        <v>1.0</v>
      </c>
      <c r="P9" s="18">
        <v>0.0</v>
      </c>
      <c r="Q9" s="18">
        <v>3.0</v>
      </c>
      <c r="R9" s="18">
        <v>3.0</v>
      </c>
      <c r="S9" s="18">
        <v>3.0</v>
      </c>
      <c r="T9" s="18">
        <v>3.0</v>
      </c>
      <c r="U9" s="18">
        <v>3.0</v>
      </c>
      <c r="V9" s="18">
        <v>3.0</v>
      </c>
      <c r="W9" s="18">
        <v>3.0</v>
      </c>
      <c r="X9" s="18">
        <v>3.0</v>
      </c>
      <c r="Y9" s="18">
        <v>3.0</v>
      </c>
      <c r="Z9" s="18">
        <v>3.0</v>
      </c>
      <c r="AA9" s="18">
        <v>3.0</v>
      </c>
      <c r="AB9" s="19" t="s">
        <v>291</v>
      </c>
    </row>
    <row r="10" ht="24.0" customHeight="1">
      <c r="A10" s="17" t="s">
        <v>205</v>
      </c>
      <c r="B10" s="17" t="s">
        <v>20</v>
      </c>
      <c r="C10" s="17" t="s">
        <v>21</v>
      </c>
      <c r="D10" s="18">
        <v>1.0</v>
      </c>
      <c r="E10" s="18">
        <v>1.0</v>
      </c>
      <c r="F10" s="18">
        <v>1.0</v>
      </c>
      <c r="G10" s="18">
        <v>1.0</v>
      </c>
      <c r="H10" s="18">
        <v>1.0</v>
      </c>
      <c r="I10" s="18">
        <v>1.0</v>
      </c>
      <c r="J10" s="18">
        <v>1.0</v>
      </c>
      <c r="K10" s="18">
        <v>1.0</v>
      </c>
      <c r="L10" s="18">
        <v>2.0</v>
      </c>
      <c r="M10" s="18">
        <v>3.0</v>
      </c>
      <c r="N10" s="18">
        <v>1.0</v>
      </c>
      <c r="O10" s="18">
        <v>1.0</v>
      </c>
      <c r="P10" s="18">
        <v>0.0</v>
      </c>
      <c r="Q10" s="18">
        <v>3.0</v>
      </c>
      <c r="R10" s="18">
        <v>3.0</v>
      </c>
      <c r="S10" s="18">
        <v>3.0</v>
      </c>
      <c r="T10" s="18">
        <v>3.0</v>
      </c>
      <c r="U10" s="18">
        <v>3.0</v>
      </c>
      <c r="V10" s="18">
        <v>3.0</v>
      </c>
      <c r="W10" s="18">
        <v>3.0</v>
      </c>
      <c r="X10" s="18">
        <v>3.0</v>
      </c>
      <c r="Y10" s="18">
        <v>3.0</v>
      </c>
      <c r="Z10" s="18">
        <v>3.0</v>
      </c>
      <c r="AA10" s="18">
        <v>3.0</v>
      </c>
      <c r="AB10" s="19" t="s">
        <v>296</v>
      </c>
    </row>
    <row r="11" ht="24.0" customHeight="1">
      <c r="A11" s="17" t="s">
        <v>19</v>
      </c>
      <c r="B11" s="17" t="s">
        <v>20</v>
      </c>
      <c r="C11" s="17" t="s">
        <v>21</v>
      </c>
      <c r="D11" s="18">
        <v>2.0</v>
      </c>
      <c r="E11" s="18">
        <v>2.0</v>
      </c>
      <c r="F11" s="18">
        <v>2.0</v>
      </c>
      <c r="G11" s="18">
        <v>2.0</v>
      </c>
      <c r="H11" s="18">
        <v>2.0</v>
      </c>
      <c r="I11" s="18">
        <v>2.0</v>
      </c>
      <c r="J11" s="18">
        <v>2.0</v>
      </c>
      <c r="K11" s="18">
        <v>2.0</v>
      </c>
      <c r="L11" s="18">
        <v>3.0</v>
      </c>
      <c r="M11" s="18">
        <v>0.0</v>
      </c>
      <c r="N11" s="18">
        <v>2.0</v>
      </c>
      <c r="O11" s="18">
        <v>2.0</v>
      </c>
      <c r="P11" s="18">
        <v>0.0</v>
      </c>
      <c r="Q11" s="18">
        <v>3.0</v>
      </c>
      <c r="R11" s="18">
        <v>3.0</v>
      </c>
      <c r="S11" s="18">
        <v>3.0</v>
      </c>
      <c r="T11" s="18">
        <v>3.0</v>
      </c>
      <c r="U11" s="18">
        <v>3.0</v>
      </c>
      <c r="V11" s="18">
        <v>3.0</v>
      </c>
      <c r="W11" s="18">
        <v>3.0</v>
      </c>
      <c r="X11" s="18">
        <v>3.0</v>
      </c>
      <c r="Y11" s="18">
        <v>3.0</v>
      </c>
      <c r="Z11" s="18">
        <v>3.0</v>
      </c>
      <c r="AA11" s="18">
        <v>3.0</v>
      </c>
      <c r="AB11" s="19" t="s">
        <v>301</v>
      </c>
    </row>
    <row r="12" ht="24.0" customHeight="1">
      <c r="A12" s="17" t="s">
        <v>207</v>
      </c>
      <c r="B12" s="17" t="s">
        <v>208</v>
      </c>
      <c r="C12" s="17" t="s">
        <v>21</v>
      </c>
      <c r="D12" s="18">
        <v>1.0</v>
      </c>
      <c r="E12" s="18">
        <v>1.0</v>
      </c>
      <c r="F12" s="18">
        <v>1.0</v>
      </c>
      <c r="G12" s="18">
        <v>1.0</v>
      </c>
      <c r="H12" s="18">
        <v>1.0</v>
      </c>
      <c r="I12" s="18">
        <v>1.0</v>
      </c>
      <c r="J12" s="18">
        <v>1.0</v>
      </c>
      <c r="K12" s="18">
        <v>1.0</v>
      </c>
      <c r="L12" s="18">
        <v>2.0</v>
      </c>
      <c r="M12" s="18">
        <v>0.0</v>
      </c>
      <c r="N12" s="18">
        <v>1.0</v>
      </c>
      <c r="O12" s="18">
        <v>1.0</v>
      </c>
      <c r="P12" s="18">
        <v>1.0</v>
      </c>
      <c r="Q12" s="18">
        <v>3.0</v>
      </c>
      <c r="R12" s="18">
        <v>3.0</v>
      </c>
      <c r="S12" s="18">
        <v>3.0</v>
      </c>
      <c r="T12" s="18">
        <v>3.0</v>
      </c>
      <c r="U12" s="18">
        <v>3.0</v>
      </c>
      <c r="V12" s="18">
        <v>3.0</v>
      </c>
      <c r="W12" s="18">
        <v>3.0</v>
      </c>
      <c r="X12" s="18">
        <v>3.0</v>
      </c>
      <c r="Y12" s="18">
        <v>3.0</v>
      </c>
      <c r="Z12" s="18">
        <v>3.0</v>
      </c>
      <c r="AA12" s="18">
        <v>3.0</v>
      </c>
      <c r="AB12" s="19" t="s">
        <v>306</v>
      </c>
    </row>
    <row r="13" ht="24.0" customHeight="1">
      <c r="A13" s="17" t="s">
        <v>31</v>
      </c>
      <c r="B13" s="17" t="s">
        <v>32</v>
      </c>
      <c r="C13" s="17" t="s">
        <v>21</v>
      </c>
      <c r="D13" s="18">
        <v>1.0</v>
      </c>
      <c r="E13" s="18">
        <v>1.0</v>
      </c>
      <c r="F13" s="18">
        <v>1.0</v>
      </c>
      <c r="G13" s="18">
        <v>1.0</v>
      </c>
      <c r="H13" s="18">
        <v>1.0</v>
      </c>
      <c r="I13" s="18">
        <v>1.0</v>
      </c>
      <c r="J13" s="18">
        <v>1.0</v>
      </c>
      <c r="K13" s="18">
        <v>1.0</v>
      </c>
      <c r="L13" s="18">
        <v>2.0</v>
      </c>
      <c r="M13" s="18">
        <v>0.0</v>
      </c>
      <c r="N13" s="18">
        <v>1.0</v>
      </c>
      <c r="O13" s="18">
        <v>1.0</v>
      </c>
      <c r="P13" s="18">
        <v>0.0</v>
      </c>
      <c r="Q13" s="18">
        <v>3.0</v>
      </c>
      <c r="R13" s="18">
        <v>3.0</v>
      </c>
      <c r="S13" s="18">
        <v>3.0</v>
      </c>
      <c r="T13" s="18">
        <v>3.0</v>
      </c>
      <c r="U13" s="18">
        <v>3.0</v>
      </c>
      <c r="V13" s="18">
        <v>3.0</v>
      </c>
      <c r="W13" s="18">
        <v>3.0</v>
      </c>
      <c r="X13" s="18">
        <v>3.0</v>
      </c>
      <c r="Y13" s="18">
        <v>3.0</v>
      </c>
      <c r="Z13" s="18">
        <v>3.0</v>
      </c>
      <c r="AA13" s="18">
        <v>3.0</v>
      </c>
      <c r="AB13" s="19" t="s">
        <v>311</v>
      </c>
    </row>
    <row r="14" ht="24.0" customHeight="1">
      <c r="A14" s="17" t="s">
        <v>209</v>
      </c>
      <c r="B14" s="17" t="s">
        <v>210</v>
      </c>
      <c r="C14" s="17" t="s">
        <v>21</v>
      </c>
      <c r="D14" s="18">
        <v>1.0</v>
      </c>
      <c r="E14" s="18">
        <v>1.0</v>
      </c>
      <c r="F14" s="18">
        <v>1.0</v>
      </c>
      <c r="G14" s="18">
        <v>1.0</v>
      </c>
      <c r="H14" s="18">
        <v>1.0</v>
      </c>
      <c r="I14" s="18">
        <v>1.0</v>
      </c>
      <c r="J14" s="18">
        <v>1.0</v>
      </c>
      <c r="K14" s="18">
        <v>1.0</v>
      </c>
      <c r="L14" s="18">
        <v>2.0</v>
      </c>
      <c r="M14" s="18">
        <v>0.0</v>
      </c>
      <c r="N14" s="18">
        <v>1.0</v>
      </c>
      <c r="O14" s="18">
        <v>1.0</v>
      </c>
      <c r="P14" s="18">
        <v>0.0</v>
      </c>
      <c r="Q14" s="18">
        <v>3.0</v>
      </c>
      <c r="R14" s="18">
        <v>3.0</v>
      </c>
      <c r="S14" s="18">
        <v>3.0</v>
      </c>
      <c r="T14" s="18">
        <v>3.0</v>
      </c>
      <c r="U14" s="18">
        <v>3.0</v>
      </c>
      <c r="V14" s="18">
        <v>3.0</v>
      </c>
      <c r="W14" s="18">
        <v>3.0</v>
      </c>
      <c r="X14" s="18">
        <v>3.0</v>
      </c>
      <c r="Y14" s="18">
        <v>3.0</v>
      </c>
      <c r="Z14" s="18">
        <v>3.0</v>
      </c>
      <c r="AA14" s="18">
        <v>3.0</v>
      </c>
      <c r="AB14" s="19" t="s">
        <v>316</v>
      </c>
    </row>
    <row r="15" ht="24.0" customHeight="1">
      <c r="A15" s="17" t="s">
        <v>211</v>
      </c>
      <c r="B15" s="17" t="s">
        <v>212</v>
      </c>
      <c r="C15" s="17" t="s">
        <v>21</v>
      </c>
      <c r="D15" s="18">
        <v>1.0</v>
      </c>
      <c r="E15" s="18">
        <v>1.0</v>
      </c>
      <c r="F15" s="18">
        <v>1.0</v>
      </c>
      <c r="G15" s="18">
        <v>1.0</v>
      </c>
      <c r="H15" s="18">
        <v>1.0</v>
      </c>
      <c r="I15" s="18">
        <v>1.0</v>
      </c>
      <c r="J15" s="18">
        <v>1.0</v>
      </c>
      <c r="K15" s="18">
        <v>1.0</v>
      </c>
      <c r="L15" s="18">
        <v>2.0</v>
      </c>
      <c r="M15" s="18">
        <v>0.0</v>
      </c>
      <c r="N15" s="18">
        <v>1.0</v>
      </c>
      <c r="O15" s="18">
        <v>1.0</v>
      </c>
      <c r="P15" s="18">
        <v>1.0</v>
      </c>
      <c r="Q15" s="18">
        <v>3.0</v>
      </c>
      <c r="R15" s="18">
        <v>3.0</v>
      </c>
      <c r="S15" s="18">
        <v>3.0</v>
      </c>
      <c r="T15" s="18">
        <v>3.0</v>
      </c>
      <c r="U15" s="18">
        <v>3.0</v>
      </c>
      <c r="V15" s="18">
        <v>3.0</v>
      </c>
      <c r="W15" s="18">
        <v>3.0</v>
      </c>
      <c r="X15" s="18">
        <v>3.0</v>
      </c>
      <c r="Y15" s="18">
        <v>3.0</v>
      </c>
      <c r="Z15" s="18">
        <v>3.0</v>
      </c>
      <c r="AA15" s="18">
        <v>3.0</v>
      </c>
      <c r="AB15" s="19" t="s">
        <v>321</v>
      </c>
    </row>
    <row r="16" ht="24.0" customHeight="1">
      <c r="A16" s="17" t="s">
        <v>213</v>
      </c>
      <c r="B16" s="17" t="s">
        <v>214</v>
      </c>
      <c r="C16" s="17" t="s">
        <v>21</v>
      </c>
      <c r="D16" s="18">
        <v>1.0</v>
      </c>
      <c r="E16" s="18">
        <v>1.0</v>
      </c>
      <c r="F16" s="18">
        <v>1.0</v>
      </c>
      <c r="G16" s="18">
        <v>1.0</v>
      </c>
      <c r="H16" s="18">
        <v>1.0</v>
      </c>
      <c r="I16" s="18">
        <v>1.0</v>
      </c>
      <c r="J16" s="18">
        <v>1.0</v>
      </c>
      <c r="K16" s="18">
        <v>1.0</v>
      </c>
      <c r="L16" s="18">
        <v>2.0</v>
      </c>
      <c r="M16" s="18">
        <v>0.0</v>
      </c>
      <c r="N16" s="18">
        <v>1.0</v>
      </c>
      <c r="O16" s="18">
        <v>1.0</v>
      </c>
      <c r="P16" s="18">
        <v>1.0</v>
      </c>
      <c r="Q16" s="18">
        <v>3.0</v>
      </c>
      <c r="R16" s="18">
        <v>2.0</v>
      </c>
      <c r="S16" s="18">
        <v>3.0</v>
      </c>
      <c r="T16" s="18">
        <v>2.0</v>
      </c>
      <c r="U16" s="18">
        <v>2.0</v>
      </c>
      <c r="V16" s="18">
        <v>2.0</v>
      </c>
      <c r="W16" s="18">
        <v>2.0</v>
      </c>
      <c r="X16" s="18">
        <v>2.0</v>
      </c>
      <c r="Y16" s="18">
        <v>2.0</v>
      </c>
      <c r="Z16" s="18">
        <v>2.0</v>
      </c>
      <c r="AA16" s="18">
        <v>2.0</v>
      </c>
      <c r="AB16" s="19" t="s">
        <v>326</v>
      </c>
    </row>
    <row r="17" ht="24.0" customHeight="1">
      <c r="A17" s="17" t="s">
        <v>215</v>
      </c>
      <c r="B17" s="17" t="s">
        <v>216</v>
      </c>
      <c r="C17" s="17" t="s">
        <v>21</v>
      </c>
      <c r="D17" s="18">
        <v>1.0</v>
      </c>
      <c r="E17" s="18">
        <v>1.0</v>
      </c>
      <c r="F17" s="18">
        <v>1.0</v>
      </c>
      <c r="G17" s="18">
        <v>1.0</v>
      </c>
      <c r="H17" s="18">
        <v>1.0</v>
      </c>
      <c r="I17" s="18">
        <v>1.0</v>
      </c>
      <c r="J17" s="18">
        <v>1.0</v>
      </c>
      <c r="K17" s="18">
        <v>1.0</v>
      </c>
      <c r="L17" s="18">
        <v>2.0</v>
      </c>
      <c r="M17" s="18">
        <v>0.0</v>
      </c>
      <c r="N17" s="18">
        <v>1.0</v>
      </c>
      <c r="O17" s="18">
        <v>1.0</v>
      </c>
      <c r="P17" s="18">
        <v>1.0</v>
      </c>
      <c r="Q17" s="18">
        <v>3.0</v>
      </c>
      <c r="R17" s="18">
        <v>3.0</v>
      </c>
      <c r="S17" s="18">
        <v>3.0</v>
      </c>
      <c r="T17" s="18">
        <v>3.0</v>
      </c>
      <c r="U17" s="18">
        <v>3.0</v>
      </c>
      <c r="V17" s="18">
        <v>3.0</v>
      </c>
      <c r="W17" s="18">
        <v>3.0</v>
      </c>
      <c r="X17" s="18">
        <v>3.0</v>
      </c>
      <c r="Y17" s="18">
        <v>3.0</v>
      </c>
      <c r="Z17" s="18">
        <v>3.0</v>
      </c>
      <c r="AA17" s="18">
        <v>3.0</v>
      </c>
      <c r="AB17" s="19" t="s">
        <v>331</v>
      </c>
    </row>
    <row r="18" ht="24.0" customHeight="1">
      <c r="A18" s="17" t="s">
        <v>217</v>
      </c>
      <c r="B18" s="17" t="s">
        <v>218</v>
      </c>
      <c r="C18" s="17" t="s">
        <v>21</v>
      </c>
      <c r="D18" s="18">
        <v>0.0</v>
      </c>
      <c r="E18" s="18">
        <v>0.0</v>
      </c>
      <c r="F18" s="18">
        <v>0.0</v>
      </c>
      <c r="G18" s="18">
        <v>0.0</v>
      </c>
      <c r="H18" s="18">
        <v>0.0</v>
      </c>
      <c r="I18" s="18">
        <v>0.0</v>
      </c>
      <c r="J18" s="18">
        <v>0.0</v>
      </c>
      <c r="K18" s="18">
        <v>0.0</v>
      </c>
      <c r="L18" s="18">
        <v>1.0</v>
      </c>
      <c r="M18" s="18">
        <v>0.0</v>
      </c>
      <c r="N18" s="18">
        <v>0.0</v>
      </c>
      <c r="O18" s="18">
        <v>0.0</v>
      </c>
      <c r="P18" s="18">
        <v>0.0</v>
      </c>
      <c r="Q18" s="18">
        <v>2.0</v>
      </c>
      <c r="R18" s="18">
        <v>1.0</v>
      </c>
      <c r="S18" s="18">
        <v>2.0</v>
      </c>
      <c r="T18" s="18">
        <v>1.0</v>
      </c>
      <c r="U18" s="18">
        <v>1.0</v>
      </c>
      <c r="V18" s="18">
        <v>1.0</v>
      </c>
      <c r="W18" s="18">
        <v>1.0</v>
      </c>
      <c r="X18" s="18">
        <v>1.0</v>
      </c>
      <c r="Y18" s="18">
        <v>1.0</v>
      </c>
      <c r="Z18" s="18">
        <v>1.0</v>
      </c>
      <c r="AA18" s="18">
        <v>1.0</v>
      </c>
      <c r="AB18" s="19" t="s">
        <v>336</v>
      </c>
    </row>
    <row r="19" ht="24.0" customHeight="1">
      <c r="A19" s="17" t="s">
        <v>219</v>
      </c>
      <c r="B19" s="17" t="s">
        <v>220</v>
      </c>
      <c r="C19" s="17" t="s">
        <v>21</v>
      </c>
      <c r="D19" s="18">
        <v>0.0</v>
      </c>
      <c r="E19" s="18">
        <v>0.0</v>
      </c>
      <c r="F19" s="18">
        <v>0.0</v>
      </c>
      <c r="G19" s="18">
        <v>0.0</v>
      </c>
      <c r="H19" s="18">
        <v>0.0</v>
      </c>
      <c r="I19" s="18">
        <v>0.0</v>
      </c>
      <c r="J19" s="18">
        <v>0.0</v>
      </c>
      <c r="K19" s="18">
        <v>0.0</v>
      </c>
      <c r="L19" s="18">
        <v>2.0</v>
      </c>
      <c r="M19" s="18">
        <v>0.0</v>
      </c>
      <c r="N19" s="18">
        <v>0.0</v>
      </c>
      <c r="O19" s="18">
        <v>0.0</v>
      </c>
      <c r="P19" s="18">
        <v>0.0</v>
      </c>
      <c r="Q19" s="18">
        <v>3.0</v>
      </c>
      <c r="R19" s="18">
        <v>2.0</v>
      </c>
      <c r="S19" s="18">
        <v>3.0</v>
      </c>
      <c r="T19" s="18">
        <v>2.0</v>
      </c>
      <c r="U19" s="18">
        <v>2.0</v>
      </c>
      <c r="V19" s="18">
        <v>2.0</v>
      </c>
      <c r="W19" s="18">
        <v>2.0</v>
      </c>
      <c r="X19" s="18">
        <v>2.0</v>
      </c>
      <c r="Y19" s="18">
        <v>2.0</v>
      </c>
      <c r="Z19" s="18">
        <v>2.0</v>
      </c>
      <c r="AA19" s="18">
        <v>2.0</v>
      </c>
      <c r="AB19" s="19" t="s">
        <v>341</v>
      </c>
    </row>
    <row r="20" ht="24.0" customHeight="1">
      <c r="A20" s="17" t="s">
        <v>221</v>
      </c>
      <c r="B20" s="17" t="s">
        <v>222</v>
      </c>
      <c r="C20" s="17" t="s">
        <v>21</v>
      </c>
      <c r="D20" s="18">
        <v>0.0</v>
      </c>
      <c r="E20" s="18">
        <v>0.0</v>
      </c>
      <c r="F20" s="18">
        <v>0.0</v>
      </c>
      <c r="G20" s="18">
        <v>0.0</v>
      </c>
      <c r="H20" s="18">
        <v>0.0</v>
      </c>
      <c r="I20" s="18">
        <v>0.0</v>
      </c>
      <c r="J20" s="18">
        <v>0.0</v>
      </c>
      <c r="K20" s="18">
        <v>0.0</v>
      </c>
      <c r="L20" s="18">
        <v>1.0</v>
      </c>
      <c r="M20" s="18">
        <v>0.0</v>
      </c>
      <c r="N20" s="18">
        <v>0.0</v>
      </c>
      <c r="O20" s="18">
        <v>0.0</v>
      </c>
      <c r="P20" s="18">
        <v>0.0</v>
      </c>
      <c r="Q20" s="18">
        <v>3.0</v>
      </c>
      <c r="R20" s="18">
        <v>3.0</v>
      </c>
      <c r="S20" s="18">
        <v>3.0</v>
      </c>
      <c r="T20" s="18">
        <v>2.0</v>
      </c>
      <c r="U20" s="18">
        <v>3.0</v>
      </c>
      <c r="V20" s="18">
        <v>2.0</v>
      </c>
      <c r="W20" s="18">
        <v>2.0</v>
      </c>
      <c r="X20" s="18">
        <v>2.0</v>
      </c>
      <c r="Y20" s="18">
        <v>2.0</v>
      </c>
      <c r="Z20" s="18">
        <v>2.0</v>
      </c>
      <c r="AA20" s="18">
        <v>2.0</v>
      </c>
      <c r="AB20" s="19" t="s">
        <v>346</v>
      </c>
    </row>
    <row r="21" ht="24.0" customHeight="1">
      <c r="A21" s="17" t="s">
        <v>224</v>
      </c>
      <c r="B21" s="17" t="s">
        <v>225</v>
      </c>
      <c r="C21" s="17" t="s">
        <v>21</v>
      </c>
      <c r="D21" s="18">
        <v>0.0</v>
      </c>
      <c r="E21" s="18">
        <v>0.0</v>
      </c>
      <c r="F21" s="18">
        <v>0.0</v>
      </c>
      <c r="G21" s="18">
        <v>0.0</v>
      </c>
      <c r="H21" s="18">
        <v>0.0</v>
      </c>
      <c r="I21" s="18">
        <v>0.0</v>
      </c>
      <c r="J21" s="18">
        <v>0.0</v>
      </c>
      <c r="K21" s="18">
        <v>0.0</v>
      </c>
      <c r="L21" s="18">
        <v>1.0</v>
      </c>
      <c r="M21" s="18">
        <v>0.0</v>
      </c>
      <c r="N21" s="18">
        <v>0.0</v>
      </c>
      <c r="O21" s="18">
        <v>0.0</v>
      </c>
      <c r="P21" s="18">
        <v>0.0</v>
      </c>
      <c r="Q21" s="18">
        <v>3.0</v>
      </c>
      <c r="R21" s="18">
        <v>2.0</v>
      </c>
      <c r="S21" s="18">
        <v>3.0</v>
      </c>
      <c r="T21" s="18">
        <v>2.0</v>
      </c>
      <c r="U21" s="18">
        <v>3.0</v>
      </c>
      <c r="V21" s="18">
        <v>2.0</v>
      </c>
      <c r="W21" s="18">
        <v>2.0</v>
      </c>
      <c r="X21" s="18">
        <v>2.0</v>
      </c>
      <c r="Y21" s="18">
        <v>2.0</v>
      </c>
      <c r="Z21" s="18">
        <v>2.0</v>
      </c>
      <c r="AA21" s="18">
        <v>2.0</v>
      </c>
      <c r="AB21" s="19" t="s">
        <v>351</v>
      </c>
    </row>
    <row r="22" ht="24.0" customHeight="1">
      <c r="A22" s="17" t="s">
        <v>28</v>
      </c>
      <c r="B22" s="17" t="s">
        <v>29</v>
      </c>
      <c r="C22" s="17" t="s">
        <v>21</v>
      </c>
      <c r="D22" s="18">
        <v>2.0</v>
      </c>
      <c r="E22" s="18">
        <v>2.0</v>
      </c>
      <c r="F22" s="18">
        <v>2.0</v>
      </c>
      <c r="G22" s="18">
        <v>2.0</v>
      </c>
      <c r="H22" s="18">
        <v>2.0</v>
      </c>
      <c r="I22" s="18">
        <v>2.0</v>
      </c>
      <c r="J22" s="18">
        <v>2.0</v>
      </c>
      <c r="K22" s="18">
        <v>2.0</v>
      </c>
      <c r="L22" s="18">
        <v>3.0</v>
      </c>
      <c r="M22" s="18">
        <v>1.0</v>
      </c>
      <c r="N22" s="18">
        <v>2.0</v>
      </c>
      <c r="O22" s="18">
        <v>2.0</v>
      </c>
      <c r="P22" s="18">
        <v>2.0</v>
      </c>
      <c r="Q22" s="18">
        <v>3.0</v>
      </c>
      <c r="R22" s="18">
        <v>3.0</v>
      </c>
      <c r="S22" s="18">
        <v>3.0</v>
      </c>
      <c r="T22" s="18">
        <v>3.0</v>
      </c>
      <c r="U22" s="18">
        <v>3.0</v>
      </c>
      <c r="V22" s="18">
        <v>3.0</v>
      </c>
      <c r="W22" s="18">
        <v>3.0</v>
      </c>
      <c r="X22" s="18">
        <v>3.0</v>
      </c>
      <c r="Y22" s="18">
        <v>3.0</v>
      </c>
      <c r="Z22" s="18">
        <v>3.0</v>
      </c>
      <c r="AA22" s="18">
        <v>3.0</v>
      </c>
      <c r="AB22" s="19" t="s">
        <v>356</v>
      </c>
    </row>
    <row r="23" ht="24.0" customHeight="1">
      <c r="A23" s="17" t="s">
        <v>227</v>
      </c>
      <c r="B23" s="17" t="s">
        <v>228</v>
      </c>
      <c r="C23" s="17" t="s">
        <v>21</v>
      </c>
      <c r="D23" s="18">
        <v>1.0</v>
      </c>
      <c r="E23" s="18">
        <v>1.0</v>
      </c>
      <c r="F23" s="18">
        <v>1.0</v>
      </c>
      <c r="G23" s="18">
        <v>1.0</v>
      </c>
      <c r="H23" s="18">
        <v>1.0</v>
      </c>
      <c r="I23" s="18">
        <v>1.0</v>
      </c>
      <c r="J23" s="18">
        <v>1.0</v>
      </c>
      <c r="K23" s="18">
        <v>1.0</v>
      </c>
      <c r="L23" s="18">
        <v>2.0</v>
      </c>
      <c r="M23" s="18">
        <v>0.0</v>
      </c>
      <c r="N23" s="18">
        <v>1.0</v>
      </c>
      <c r="O23" s="18">
        <v>1.0</v>
      </c>
      <c r="P23" s="18">
        <v>1.0</v>
      </c>
      <c r="Q23" s="18">
        <v>3.0</v>
      </c>
      <c r="R23" s="18">
        <v>2.0</v>
      </c>
      <c r="S23" s="18">
        <v>3.0</v>
      </c>
      <c r="T23" s="18">
        <v>2.0</v>
      </c>
      <c r="U23" s="18">
        <v>2.0</v>
      </c>
      <c r="V23" s="18">
        <v>2.0</v>
      </c>
      <c r="W23" s="18">
        <v>2.0</v>
      </c>
      <c r="X23" s="18">
        <v>2.0</v>
      </c>
      <c r="Y23" s="18">
        <v>2.0</v>
      </c>
      <c r="Z23" s="18">
        <v>2.0</v>
      </c>
      <c r="AA23" s="18">
        <v>2.0</v>
      </c>
      <c r="AB23" s="19" t="s">
        <v>360</v>
      </c>
    </row>
    <row r="24" ht="24.0" customHeight="1">
      <c r="A24" s="17" t="s">
        <v>48</v>
      </c>
      <c r="B24" s="17" t="s">
        <v>49</v>
      </c>
      <c r="C24" s="17" t="s">
        <v>21</v>
      </c>
      <c r="D24" s="18">
        <v>2.0</v>
      </c>
      <c r="E24" s="18">
        <v>2.0</v>
      </c>
      <c r="F24" s="18">
        <v>2.0</v>
      </c>
      <c r="G24" s="18">
        <v>2.0</v>
      </c>
      <c r="H24" s="18">
        <v>2.0</v>
      </c>
      <c r="I24" s="18">
        <v>2.0</v>
      </c>
      <c r="J24" s="18">
        <v>2.0</v>
      </c>
      <c r="K24" s="18">
        <v>2.0</v>
      </c>
      <c r="L24" s="18">
        <v>3.0</v>
      </c>
      <c r="M24" s="18">
        <v>1.0</v>
      </c>
      <c r="N24" s="18">
        <v>2.0</v>
      </c>
      <c r="O24" s="18">
        <v>2.0</v>
      </c>
      <c r="P24" s="18">
        <v>2.0</v>
      </c>
      <c r="Q24" s="18">
        <v>3.0</v>
      </c>
      <c r="R24" s="18">
        <v>2.0</v>
      </c>
      <c r="S24" s="18">
        <v>3.0</v>
      </c>
      <c r="T24" s="18">
        <v>2.0</v>
      </c>
      <c r="U24" s="18">
        <v>2.0</v>
      </c>
      <c r="V24" s="18">
        <v>2.0</v>
      </c>
      <c r="W24" s="18">
        <v>2.0</v>
      </c>
      <c r="X24" s="18">
        <v>2.0</v>
      </c>
      <c r="Y24" s="18">
        <v>2.0</v>
      </c>
      <c r="Z24" s="18">
        <v>2.0</v>
      </c>
      <c r="AA24" s="18">
        <v>2.0</v>
      </c>
      <c r="AB24" s="19" t="s">
        <v>364</v>
      </c>
    </row>
    <row r="25" ht="24.0" customHeight="1">
      <c r="A25" s="17" t="s">
        <v>45</v>
      </c>
      <c r="B25" s="17" t="s">
        <v>46</v>
      </c>
      <c r="C25" s="17" t="s">
        <v>21</v>
      </c>
      <c r="D25" s="18">
        <v>2.0</v>
      </c>
      <c r="E25" s="18">
        <v>2.0</v>
      </c>
      <c r="F25" s="18">
        <v>2.0</v>
      </c>
      <c r="G25" s="18">
        <v>2.0</v>
      </c>
      <c r="H25" s="18">
        <v>2.0</v>
      </c>
      <c r="I25" s="18">
        <v>2.0</v>
      </c>
      <c r="J25" s="18">
        <v>2.0</v>
      </c>
      <c r="K25" s="18">
        <v>2.0</v>
      </c>
      <c r="L25" s="18">
        <v>3.0</v>
      </c>
      <c r="M25" s="18">
        <v>1.0</v>
      </c>
      <c r="N25" s="18">
        <v>2.0</v>
      </c>
      <c r="O25" s="18">
        <v>2.0</v>
      </c>
      <c r="P25" s="18">
        <v>2.0</v>
      </c>
      <c r="Q25" s="18">
        <v>3.0</v>
      </c>
      <c r="R25" s="18">
        <v>2.0</v>
      </c>
      <c r="S25" s="18">
        <v>3.0</v>
      </c>
      <c r="T25" s="18">
        <v>2.0</v>
      </c>
      <c r="U25" s="18">
        <v>2.0</v>
      </c>
      <c r="V25" s="18">
        <v>2.0</v>
      </c>
      <c r="W25" s="18">
        <v>2.0</v>
      </c>
      <c r="X25" s="18">
        <v>2.0</v>
      </c>
      <c r="Y25" s="18">
        <v>2.0</v>
      </c>
      <c r="Z25" s="18">
        <v>2.0</v>
      </c>
      <c r="AA25" s="18">
        <v>2.0</v>
      </c>
      <c r="AB25" s="19" t="s">
        <v>368</v>
      </c>
    </row>
    <row r="26" ht="24.0" customHeight="1">
      <c r="A26" s="17" t="s">
        <v>229</v>
      </c>
      <c r="B26" s="17" t="s">
        <v>230</v>
      </c>
      <c r="C26" s="17" t="s">
        <v>21</v>
      </c>
      <c r="D26" s="18">
        <v>3.0</v>
      </c>
      <c r="E26" s="18">
        <v>3.0</v>
      </c>
      <c r="F26" s="18">
        <v>3.0</v>
      </c>
      <c r="G26" s="18">
        <v>3.0</v>
      </c>
      <c r="H26" s="18">
        <v>3.0</v>
      </c>
      <c r="I26" s="18">
        <v>3.0</v>
      </c>
      <c r="J26" s="18">
        <v>3.0</v>
      </c>
      <c r="K26" s="18">
        <v>3.0</v>
      </c>
      <c r="L26" s="18">
        <v>3.0</v>
      </c>
      <c r="M26" s="18">
        <v>2.0</v>
      </c>
      <c r="N26" s="18">
        <v>3.0</v>
      </c>
      <c r="O26" s="18">
        <v>3.0</v>
      </c>
      <c r="P26" s="18">
        <v>3.0</v>
      </c>
      <c r="Q26" s="18">
        <v>3.0</v>
      </c>
      <c r="R26" s="18">
        <v>2.0</v>
      </c>
      <c r="S26" s="18">
        <v>3.0</v>
      </c>
      <c r="T26" s="18">
        <v>2.0</v>
      </c>
      <c r="U26" s="18">
        <v>2.0</v>
      </c>
      <c r="V26" s="18">
        <v>2.0</v>
      </c>
      <c r="W26" s="18">
        <v>2.0</v>
      </c>
      <c r="X26" s="18">
        <v>2.0</v>
      </c>
      <c r="Y26" s="18">
        <v>2.0</v>
      </c>
      <c r="Z26" s="18">
        <v>2.0</v>
      </c>
      <c r="AA26" s="18">
        <v>2.0</v>
      </c>
      <c r="AB26" s="19" t="s">
        <v>373</v>
      </c>
    </row>
    <row r="27" ht="24.0" customHeight="1">
      <c r="A27" s="17" t="s">
        <v>232</v>
      </c>
      <c r="B27" s="17" t="s">
        <v>233</v>
      </c>
      <c r="C27" s="17" t="s">
        <v>21</v>
      </c>
      <c r="D27" s="18">
        <v>3.0</v>
      </c>
      <c r="E27" s="18">
        <v>3.0</v>
      </c>
      <c r="F27" s="18">
        <v>3.0</v>
      </c>
      <c r="G27" s="18">
        <v>3.0</v>
      </c>
      <c r="H27" s="18">
        <v>3.0</v>
      </c>
      <c r="I27" s="18">
        <v>3.0</v>
      </c>
      <c r="J27" s="18">
        <v>3.0</v>
      </c>
      <c r="K27" s="18">
        <v>3.0</v>
      </c>
      <c r="L27" s="18">
        <v>3.0</v>
      </c>
      <c r="M27" s="18">
        <v>2.0</v>
      </c>
      <c r="N27" s="18">
        <v>3.0</v>
      </c>
      <c r="O27" s="18">
        <v>3.0</v>
      </c>
      <c r="P27" s="18">
        <v>3.0</v>
      </c>
      <c r="Q27" s="18">
        <v>3.0</v>
      </c>
      <c r="R27" s="18">
        <v>2.0</v>
      </c>
      <c r="S27" s="18">
        <v>3.0</v>
      </c>
      <c r="T27" s="18">
        <v>2.0</v>
      </c>
      <c r="U27" s="18">
        <v>2.0</v>
      </c>
      <c r="V27" s="18">
        <v>2.0</v>
      </c>
      <c r="W27" s="18">
        <v>2.0</v>
      </c>
      <c r="X27" s="18">
        <v>2.0</v>
      </c>
      <c r="Y27" s="18">
        <v>2.0</v>
      </c>
      <c r="Z27" s="18">
        <v>2.0</v>
      </c>
      <c r="AA27" s="18">
        <v>2.0</v>
      </c>
      <c r="AB27" s="19" t="s">
        <v>377</v>
      </c>
    </row>
    <row r="28" ht="24.0" customHeight="1">
      <c r="A28" s="17" t="s">
        <v>234</v>
      </c>
      <c r="B28" s="17" t="s">
        <v>235</v>
      </c>
      <c r="C28" s="17" t="s">
        <v>21</v>
      </c>
      <c r="D28" s="18">
        <v>3.0</v>
      </c>
      <c r="E28" s="18">
        <v>3.0</v>
      </c>
      <c r="F28" s="18">
        <v>3.0</v>
      </c>
      <c r="G28" s="18">
        <v>3.0</v>
      </c>
      <c r="H28" s="18">
        <v>3.0</v>
      </c>
      <c r="I28" s="18">
        <v>3.0</v>
      </c>
      <c r="J28" s="18">
        <v>3.0</v>
      </c>
      <c r="K28" s="18">
        <v>3.0</v>
      </c>
      <c r="L28" s="18">
        <v>3.0</v>
      </c>
      <c r="M28" s="18">
        <v>2.0</v>
      </c>
      <c r="N28" s="18">
        <v>3.0</v>
      </c>
      <c r="O28" s="18">
        <v>3.0</v>
      </c>
      <c r="P28" s="18">
        <v>3.0</v>
      </c>
      <c r="Q28" s="18">
        <v>3.0</v>
      </c>
      <c r="R28" s="18">
        <v>2.0</v>
      </c>
      <c r="S28" s="18">
        <v>3.0</v>
      </c>
      <c r="T28" s="18">
        <v>2.0</v>
      </c>
      <c r="U28" s="18">
        <v>2.0</v>
      </c>
      <c r="V28" s="18">
        <v>2.0</v>
      </c>
      <c r="W28" s="18">
        <v>2.0</v>
      </c>
      <c r="X28" s="18">
        <v>2.0</v>
      </c>
      <c r="Y28" s="18">
        <v>2.0</v>
      </c>
      <c r="Z28" s="18">
        <v>2.0</v>
      </c>
      <c r="AA28" s="18">
        <v>2.0</v>
      </c>
      <c r="AB28" s="19" t="s">
        <v>382</v>
      </c>
    </row>
    <row r="29" ht="24.0" customHeight="1">
      <c r="A29" s="17" t="s">
        <v>237</v>
      </c>
      <c r="B29" s="17" t="s">
        <v>238</v>
      </c>
      <c r="C29" s="17" t="s">
        <v>21</v>
      </c>
      <c r="D29" s="18">
        <v>2.0</v>
      </c>
      <c r="E29" s="18">
        <v>2.0</v>
      </c>
      <c r="F29" s="18">
        <v>2.0</v>
      </c>
      <c r="G29" s="18">
        <v>2.0</v>
      </c>
      <c r="H29" s="18">
        <v>2.0</v>
      </c>
      <c r="I29" s="18">
        <v>2.0</v>
      </c>
      <c r="J29" s="18">
        <v>2.0</v>
      </c>
      <c r="K29" s="18">
        <v>2.0</v>
      </c>
      <c r="L29" s="18">
        <v>3.0</v>
      </c>
      <c r="M29" s="18">
        <v>0.0</v>
      </c>
      <c r="N29" s="18">
        <v>2.0</v>
      </c>
      <c r="O29" s="18">
        <v>2.0</v>
      </c>
      <c r="P29" s="18">
        <v>2.0</v>
      </c>
      <c r="Q29" s="18">
        <v>3.0</v>
      </c>
      <c r="R29" s="18">
        <v>2.0</v>
      </c>
      <c r="S29" s="18">
        <v>3.0</v>
      </c>
      <c r="T29" s="18">
        <v>2.0</v>
      </c>
      <c r="U29" s="18">
        <v>2.0</v>
      </c>
      <c r="V29" s="18">
        <v>2.0</v>
      </c>
      <c r="W29" s="18">
        <v>2.0</v>
      </c>
      <c r="X29" s="18">
        <v>2.0</v>
      </c>
      <c r="Y29" s="18">
        <v>2.0</v>
      </c>
      <c r="Z29" s="18">
        <v>2.0</v>
      </c>
      <c r="AA29" s="18">
        <v>2.0</v>
      </c>
      <c r="AB29" s="19" t="s">
        <v>387</v>
      </c>
    </row>
    <row r="30" ht="24.0" customHeight="1">
      <c r="A30" s="17" t="s">
        <v>239</v>
      </c>
      <c r="B30" s="17" t="s">
        <v>240</v>
      </c>
      <c r="C30" s="17" t="s">
        <v>21</v>
      </c>
      <c r="D30" s="18">
        <v>2.0</v>
      </c>
      <c r="E30" s="18">
        <v>2.0</v>
      </c>
      <c r="F30" s="18">
        <v>2.0</v>
      </c>
      <c r="G30" s="18">
        <v>2.0</v>
      </c>
      <c r="H30" s="18">
        <v>2.0</v>
      </c>
      <c r="I30" s="18">
        <v>2.0</v>
      </c>
      <c r="J30" s="18">
        <v>2.0</v>
      </c>
      <c r="K30" s="18">
        <v>2.0</v>
      </c>
      <c r="L30" s="18">
        <v>3.0</v>
      </c>
      <c r="M30" s="18">
        <v>1.0</v>
      </c>
      <c r="N30" s="18">
        <v>2.0</v>
      </c>
      <c r="O30" s="18">
        <v>2.0</v>
      </c>
      <c r="P30" s="18">
        <v>3.0</v>
      </c>
      <c r="Q30" s="18">
        <v>2.0</v>
      </c>
      <c r="R30" s="18">
        <v>1.0</v>
      </c>
      <c r="S30" s="18">
        <v>2.0</v>
      </c>
      <c r="T30" s="18">
        <v>1.0</v>
      </c>
      <c r="U30" s="18">
        <v>1.0</v>
      </c>
      <c r="V30" s="18">
        <v>1.0</v>
      </c>
      <c r="W30" s="18">
        <v>1.0</v>
      </c>
      <c r="X30" s="18">
        <v>1.0</v>
      </c>
      <c r="Y30" s="18">
        <v>1.0</v>
      </c>
      <c r="Z30" s="18">
        <v>1.0</v>
      </c>
      <c r="AA30" s="18">
        <v>1.0</v>
      </c>
      <c r="AB30" s="19" t="s">
        <v>392</v>
      </c>
    </row>
    <row r="31" ht="24.0" customHeight="1">
      <c r="A31" s="17" t="s">
        <v>242</v>
      </c>
      <c r="B31" s="17" t="s">
        <v>243</v>
      </c>
      <c r="C31" s="17" t="s">
        <v>21</v>
      </c>
      <c r="D31" s="18">
        <v>2.0</v>
      </c>
      <c r="E31" s="18">
        <v>2.0</v>
      </c>
      <c r="F31" s="18">
        <v>2.0</v>
      </c>
      <c r="G31" s="18">
        <v>2.0</v>
      </c>
      <c r="H31" s="18">
        <v>2.0</v>
      </c>
      <c r="I31" s="18">
        <v>2.0</v>
      </c>
      <c r="J31" s="18">
        <v>2.0</v>
      </c>
      <c r="K31" s="18">
        <v>2.0</v>
      </c>
      <c r="L31" s="18">
        <v>3.0</v>
      </c>
      <c r="M31" s="18">
        <v>1.0</v>
      </c>
      <c r="N31" s="18">
        <v>2.0</v>
      </c>
      <c r="O31" s="18">
        <v>2.0</v>
      </c>
      <c r="P31" s="18">
        <v>2.0</v>
      </c>
      <c r="Q31" s="18">
        <v>3.0</v>
      </c>
      <c r="R31" s="18">
        <v>2.0</v>
      </c>
      <c r="S31" s="18">
        <v>3.0</v>
      </c>
      <c r="T31" s="18">
        <v>2.0</v>
      </c>
      <c r="U31" s="18">
        <v>2.0</v>
      </c>
      <c r="V31" s="18">
        <v>2.0</v>
      </c>
      <c r="W31" s="18">
        <v>2.0</v>
      </c>
      <c r="X31" s="18">
        <v>2.0</v>
      </c>
      <c r="Y31" s="18">
        <v>2.0</v>
      </c>
      <c r="Z31" s="18">
        <v>2.0</v>
      </c>
      <c r="AA31" s="18">
        <v>2.0</v>
      </c>
      <c r="AB31" s="19" t="s">
        <v>397</v>
      </c>
    </row>
    <row r="32" ht="24.0" customHeight="1">
      <c r="A32" s="17" t="s">
        <v>244</v>
      </c>
      <c r="B32" s="17" t="s">
        <v>245</v>
      </c>
      <c r="C32" s="17" t="s">
        <v>21</v>
      </c>
      <c r="D32" s="18">
        <v>2.0</v>
      </c>
      <c r="E32" s="18">
        <v>2.0</v>
      </c>
      <c r="F32" s="18">
        <v>2.0</v>
      </c>
      <c r="G32" s="18">
        <v>2.0</v>
      </c>
      <c r="H32" s="18">
        <v>2.0</v>
      </c>
      <c r="I32" s="18">
        <v>2.0</v>
      </c>
      <c r="J32" s="18">
        <v>2.0</v>
      </c>
      <c r="K32" s="18">
        <v>2.0</v>
      </c>
      <c r="L32" s="18">
        <v>3.0</v>
      </c>
      <c r="M32" s="18">
        <v>1.0</v>
      </c>
      <c r="N32" s="18">
        <v>2.0</v>
      </c>
      <c r="O32" s="18">
        <v>2.0</v>
      </c>
      <c r="P32" s="18">
        <v>2.0</v>
      </c>
      <c r="Q32" s="18">
        <v>2.0</v>
      </c>
      <c r="R32" s="18">
        <v>1.0</v>
      </c>
      <c r="S32" s="18">
        <v>2.0</v>
      </c>
      <c r="T32" s="18">
        <v>1.0</v>
      </c>
      <c r="U32" s="18">
        <v>1.0</v>
      </c>
      <c r="V32" s="18">
        <v>1.0</v>
      </c>
      <c r="W32" s="18">
        <v>1.0</v>
      </c>
      <c r="X32" s="18">
        <v>1.0</v>
      </c>
      <c r="Y32" s="18">
        <v>1.0</v>
      </c>
      <c r="Z32" s="18">
        <v>1.0</v>
      </c>
      <c r="AA32" s="18">
        <v>1.0</v>
      </c>
      <c r="AB32" s="19" t="s">
        <v>402</v>
      </c>
    </row>
    <row r="33" ht="24.0" customHeight="1">
      <c r="A33" s="17" t="s">
        <v>246</v>
      </c>
      <c r="B33" s="17" t="s">
        <v>247</v>
      </c>
      <c r="C33" s="17" t="s">
        <v>21</v>
      </c>
      <c r="D33" s="18">
        <v>1.0</v>
      </c>
      <c r="E33" s="18">
        <v>1.0</v>
      </c>
      <c r="F33" s="18">
        <v>1.0</v>
      </c>
      <c r="G33" s="18">
        <v>1.0</v>
      </c>
      <c r="H33" s="18">
        <v>1.0</v>
      </c>
      <c r="I33" s="18">
        <v>1.0</v>
      </c>
      <c r="J33" s="18">
        <v>1.0</v>
      </c>
      <c r="K33" s="18">
        <v>1.0</v>
      </c>
      <c r="L33" s="18">
        <v>2.0</v>
      </c>
      <c r="M33" s="18">
        <v>0.0</v>
      </c>
      <c r="N33" s="18">
        <v>1.0</v>
      </c>
      <c r="O33" s="18">
        <v>1.0</v>
      </c>
      <c r="P33" s="18">
        <v>1.0</v>
      </c>
      <c r="Q33" s="18">
        <v>3.0</v>
      </c>
      <c r="R33" s="18">
        <v>3.0</v>
      </c>
      <c r="S33" s="18">
        <v>3.0</v>
      </c>
      <c r="T33" s="18">
        <v>3.0</v>
      </c>
      <c r="U33" s="18">
        <v>3.0</v>
      </c>
      <c r="V33" s="18">
        <v>3.0</v>
      </c>
      <c r="W33" s="18">
        <v>3.0</v>
      </c>
      <c r="X33" s="18">
        <v>3.0</v>
      </c>
      <c r="Y33" s="18">
        <v>3.0</v>
      </c>
      <c r="Z33" s="18">
        <v>3.0</v>
      </c>
      <c r="AA33" s="18">
        <v>3.0</v>
      </c>
      <c r="AB33" s="19" t="s">
        <v>407</v>
      </c>
    </row>
    <row r="34" ht="24.0" customHeight="1">
      <c r="A34" s="17" t="s">
        <v>248</v>
      </c>
      <c r="B34" s="17" t="s">
        <v>249</v>
      </c>
      <c r="C34" s="17" t="s">
        <v>21</v>
      </c>
      <c r="D34" s="18">
        <v>1.0</v>
      </c>
      <c r="E34" s="18">
        <v>1.0</v>
      </c>
      <c r="F34" s="18">
        <v>1.0</v>
      </c>
      <c r="G34" s="18">
        <v>1.0</v>
      </c>
      <c r="H34" s="18">
        <v>1.0</v>
      </c>
      <c r="I34" s="18">
        <v>1.0</v>
      </c>
      <c r="J34" s="18">
        <v>1.0</v>
      </c>
      <c r="K34" s="18">
        <v>1.0</v>
      </c>
      <c r="L34" s="18">
        <v>2.0</v>
      </c>
      <c r="M34" s="18">
        <v>0.0</v>
      </c>
      <c r="N34" s="18">
        <v>1.0</v>
      </c>
      <c r="O34" s="18">
        <v>1.0</v>
      </c>
      <c r="P34" s="18">
        <v>1.0</v>
      </c>
      <c r="Q34" s="18">
        <v>3.0</v>
      </c>
      <c r="R34" s="18">
        <v>2.0</v>
      </c>
      <c r="S34" s="18">
        <v>3.0</v>
      </c>
      <c r="T34" s="18">
        <v>2.0</v>
      </c>
      <c r="U34" s="18">
        <v>2.0</v>
      </c>
      <c r="V34" s="18">
        <v>2.0</v>
      </c>
      <c r="W34" s="18">
        <v>2.0</v>
      </c>
      <c r="X34" s="18">
        <v>2.0</v>
      </c>
      <c r="Y34" s="18">
        <v>2.0</v>
      </c>
      <c r="Z34" s="18">
        <v>2.0</v>
      </c>
      <c r="AA34" s="18">
        <v>2.0</v>
      </c>
      <c r="AB34" s="19" t="s">
        <v>412</v>
      </c>
    </row>
    <row r="35" ht="24.0" customHeight="1">
      <c r="A35" s="17" t="s">
        <v>250</v>
      </c>
      <c r="B35" s="17" t="s">
        <v>251</v>
      </c>
      <c r="C35" s="17" t="s">
        <v>21</v>
      </c>
      <c r="D35" s="18">
        <v>0.0</v>
      </c>
      <c r="E35" s="18">
        <v>0.0</v>
      </c>
      <c r="F35" s="18">
        <v>0.0</v>
      </c>
      <c r="G35" s="18">
        <v>0.0</v>
      </c>
      <c r="H35" s="18">
        <v>0.0</v>
      </c>
      <c r="I35" s="18">
        <v>0.0</v>
      </c>
      <c r="J35" s="18">
        <v>0.0</v>
      </c>
      <c r="K35" s="18">
        <v>0.0</v>
      </c>
      <c r="L35" s="18">
        <v>1.0</v>
      </c>
      <c r="M35" s="18">
        <v>0.0</v>
      </c>
      <c r="N35" s="18">
        <v>0.0</v>
      </c>
      <c r="O35" s="18">
        <v>0.0</v>
      </c>
      <c r="P35" s="18">
        <v>0.0</v>
      </c>
      <c r="Q35" s="18">
        <v>2.0</v>
      </c>
      <c r="R35" s="18">
        <v>1.0</v>
      </c>
      <c r="S35" s="18">
        <v>2.0</v>
      </c>
      <c r="T35" s="18">
        <v>1.0</v>
      </c>
      <c r="U35" s="18">
        <v>1.0</v>
      </c>
      <c r="V35" s="18">
        <v>1.0</v>
      </c>
      <c r="W35" s="18">
        <v>1.0</v>
      </c>
      <c r="X35" s="18">
        <v>1.0</v>
      </c>
      <c r="Y35" s="18">
        <v>1.0</v>
      </c>
      <c r="Z35" s="18">
        <v>1.0</v>
      </c>
      <c r="AA35" s="18">
        <v>1.0</v>
      </c>
      <c r="AB35" s="19" t="s">
        <v>417</v>
      </c>
    </row>
    <row r="36" ht="24.0" customHeight="1">
      <c r="A36" s="17" t="s">
        <v>252</v>
      </c>
      <c r="B36" s="17" t="s">
        <v>253</v>
      </c>
      <c r="C36" s="17" t="s">
        <v>21</v>
      </c>
      <c r="D36" s="18">
        <v>1.0</v>
      </c>
      <c r="E36" s="18">
        <v>1.0</v>
      </c>
      <c r="F36" s="18">
        <v>1.0</v>
      </c>
      <c r="G36" s="18">
        <v>1.0</v>
      </c>
      <c r="H36" s="18">
        <v>1.0</v>
      </c>
      <c r="I36" s="18">
        <v>1.0</v>
      </c>
      <c r="J36" s="18">
        <v>1.0</v>
      </c>
      <c r="K36" s="18">
        <v>1.0</v>
      </c>
      <c r="L36" s="18">
        <v>2.0</v>
      </c>
      <c r="M36" s="18">
        <v>0.0</v>
      </c>
      <c r="N36" s="18">
        <v>1.0</v>
      </c>
      <c r="O36" s="18">
        <v>1.0</v>
      </c>
      <c r="P36" s="18">
        <v>0.0</v>
      </c>
      <c r="Q36" s="18">
        <v>3.0</v>
      </c>
      <c r="R36" s="18">
        <v>2.0</v>
      </c>
      <c r="S36" s="18">
        <v>3.0</v>
      </c>
      <c r="T36" s="18">
        <v>2.0</v>
      </c>
      <c r="U36" s="18">
        <v>2.0</v>
      </c>
      <c r="V36" s="18">
        <v>2.0</v>
      </c>
      <c r="W36" s="18">
        <v>2.0</v>
      </c>
      <c r="X36" s="18">
        <v>2.0</v>
      </c>
      <c r="Y36" s="18">
        <v>2.0</v>
      </c>
      <c r="Z36" s="18">
        <v>2.0</v>
      </c>
      <c r="AA36" s="18">
        <v>2.0</v>
      </c>
      <c r="AB36" s="19" t="s">
        <v>422</v>
      </c>
    </row>
    <row r="37" ht="24.0" customHeight="1">
      <c r="A37" s="17" t="s">
        <v>36</v>
      </c>
      <c r="B37" s="17" t="s">
        <v>37</v>
      </c>
      <c r="C37" s="17" t="s">
        <v>21</v>
      </c>
      <c r="D37" s="18">
        <v>2.0</v>
      </c>
      <c r="E37" s="18">
        <v>2.0</v>
      </c>
      <c r="F37" s="18">
        <v>2.0</v>
      </c>
      <c r="G37" s="18">
        <v>2.0</v>
      </c>
      <c r="H37" s="18">
        <v>2.0</v>
      </c>
      <c r="I37" s="18">
        <v>2.0</v>
      </c>
      <c r="J37" s="18">
        <v>2.0</v>
      </c>
      <c r="K37" s="18">
        <v>2.0</v>
      </c>
      <c r="L37" s="18">
        <v>3.0</v>
      </c>
      <c r="M37" s="18">
        <v>1.0</v>
      </c>
      <c r="N37" s="18">
        <v>2.0</v>
      </c>
      <c r="O37" s="18">
        <v>2.0</v>
      </c>
      <c r="P37" s="18">
        <v>0.0</v>
      </c>
      <c r="Q37" s="18">
        <v>3.0</v>
      </c>
      <c r="R37" s="18">
        <v>2.0</v>
      </c>
      <c r="S37" s="18">
        <v>3.0</v>
      </c>
      <c r="T37" s="18">
        <v>2.0</v>
      </c>
      <c r="U37" s="18">
        <v>2.0</v>
      </c>
      <c r="V37" s="18">
        <v>2.0</v>
      </c>
      <c r="W37" s="18">
        <v>2.0</v>
      </c>
      <c r="X37" s="18">
        <v>2.0</v>
      </c>
      <c r="Y37" s="18">
        <v>2.0</v>
      </c>
      <c r="Z37" s="18">
        <v>2.0</v>
      </c>
      <c r="AA37" s="18">
        <v>2.0</v>
      </c>
      <c r="AB37" s="19" t="s">
        <v>427</v>
      </c>
    </row>
    <row r="38" ht="24.0" customHeight="1">
      <c r="A38" s="17" t="s">
        <v>254</v>
      </c>
      <c r="B38" s="17" t="s">
        <v>255</v>
      </c>
      <c r="C38" s="17" t="s">
        <v>256</v>
      </c>
      <c r="D38" s="18">
        <v>2.0</v>
      </c>
      <c r="E38" s="18">
        <v>2.0</v>
      </c>
      <c r="F38" s="18">
        <v>2.0</v>
      </c>
      <c r="G38" s="18">
        <v>2.0</v>
      </c>
      <c r="H38" s="18">
        <v>2.0</v>
      </c>
      <c r="I38" s="18">
        <v>2.0</v>
      </c>
      <c r="J38" s="18">
        <v>2.0</v>
      </c>
      <c r="K38" s="18">
        <v>2.0</v>
      </c>
      <c r="L38" s="18">
        <v>2.0</v>
      </c>
      <c r="M38" s="18">
        <v>1.0</v>
      </c>
      <c r="N38" s="18">
        <v>2.0</v>
      </c>
      <c r="O38" s="18">
        <v>2.0</v>
      </c>
      <c r="P38" s="18">
        <v>2.0</v>
      </c>
      <c r="Q38" s="18">
        <v>2.0</v>
      </c>
      <c r="R38" s="18">
        <v>1.0</v>
      </c>
      <c r="S38" s="18">
        <v>2.0</v>
      </c>
      <c r="T38" s="18">
        <v>1.0</v>
      </c>
      <c r="U38" s="18">
        <v>1.0</v>
      </c>
      <c r="V38" s="18">
        <v>1.0</v>
      </c>
      <c r="W38" s="18">
        <v>1.0</v>
      </c>
      <c r="X38" s="18">
        <v>1.0</v>
      </c>
      <c r="Y38" s="18">
        <v>1.0</v>
      </c>
      <c r="Z38" s="18">
        <v>1.0</v>
      </c>
      <c r="AA38" s="18">
        <v>1.0</v>
      </c>
      <c r="AB38" s="19" t="s">
        <v>432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269A66D-1B4D-4104-8986-5BDE2A1CF170}" filter="1" showAutoFilter="1">
      <autoFilter ref="$A$3:$AB$38"/>
    </customSheetView>
  </customSheetViews>
  <mergeCells count="1">
    <mergeCell ref="A1:H1"/>
  </mergeCells>
  <conditionalFormatting sqref="D4:AA38">
    <cfRule type="cellIs" dxfId="5" priority="1" operator="equal">
      <formula>0</formula>
    </cfRule>
  </conditionalFormatting>
  <conditionalFormatting sqref="D4:AA38">
    <cfRule type="cellIs" dxfId="6" priority="2" operator="equal">
      <formula>1</formula>
    </cfRule>
  </conditionalFormatting>
  <conditionalFormatting sqref="D4:AA38">
    <cfRule type="cellIs" dxfId="7" priority="3" operator="equal">
      <formula>2</formula>
    </cfRule>
  </conditionalFormatting>
  <conditionalFormatting sqref="D4:AA38">
    <cfRule type="cellIs" dxfId="8" priority="4" operator="equal">
      <formula>3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38.0"/>
    <col customWidth="1" min="3" max="4" width="14.0"/>
    <col customWidth="1" min="5" max="14" width="18.0"/>
    <col customWidth="1" min="15" max="26" width="8.63"/>
  </cols>
  <sheetData>
    <row r="1" ht="18.0" customHeight="1">
      <c r="A1" s="1" t="s">
        <v>437</v>
      </c>
    </row>
    <row r="2" ht="15.0" customHeight="1">
      <c r="A2" s="15" t="s">
        <v>438</v>
      </c>
    </row>
    <row r="3" ht="15.0" customHeight="1">
      <c r="D3" s="3" t="s">
        <v>439</v>
      </c>
      <c r="E3" s="2">
        <v>1.1</v>
      </c>
      <c r="F3" s="2">
        <v>1.1</v>
      </c>
      <c r="G3" s="2">
        <v>1.0</v>
      </c>
      <c r="H3" s="2">
        <v>1.05</v>
      </c>
      <c r="I3" s="2">
        <v>0.9</v>
      </c>
      <c r="J3" s="2">
        <v>1.0</v>
      </c>
      <c r="K3" s="2">
        <v>1.05</v>
      </c>
      <c r="L3" s="2">
        <v>0.9</v>
      </c>
      <c r="M3" s="2">
        <v>0.9</v>
      </c>
      <c r="N3" s="2">
        <v>1.0</v>
      </c>
    </row>
    <row r="4" ht="26.25" customHeight="1">
      <c r="A4" s="16" t="s">
        <v>53</v>
      </c>
      <c r="B4" s="16" t="s">
        <v>440</v>
      </c>
      <c r="C4" s="16" t="s">
        <v>441</v>
      </c>
      <c r="D4" s="16" t="s">
        <v>442</v>
      </c>
      <c r="E4" s="16" t="s">
        <v>22</v>
      </c>
      <c r="F4" s="16" t="s">
        <v>26</v>
      </c>
      <c r="G4" s="16" t="s">
        <v>30</v>
      </c>
      <c r="H4" s="16" t="s">
        <v>33</v>
      </c>
      <c r="I4" s="16" t="s">
        <v>35</v>
      </c>
      <c r="J4" s="16" t="s">
        <v>38</v>
      </c>
      <c r="K4" s="16" t="s">
        <v>40</v>
      </c>
      <c r="L4" s="16" t="s">
        <v>43</v>
      </c>
      <c r="M4" s="16" t="s">
        <v>47</v>
      </c>
      <c r="N4" s="16" t="s">
        <v>50</v>
      </c>
    </row>
    <row r="5" ht="15.0" customHeight="1">
      <c r="A5" s="17" t="s">
        <v>24</v>
      </c>
      <c r="B5" s="17" t="s">
        <v>25</v>
      </c>
      <c r="C5" s="20">
        <f t="shared" ref="C5:C39" si="1">ROUND(SUMPRODUCT(E5:N5,$E$3:$N$3)/SUM($E$3:$N$3),1)</f>
        <v>90.5</v>
      </c>
      <c r="D5" s="21">
        <f t="shared" ref="D5:D39" si="2">RANK(C5,$C$5:$C$39,0)</f>
        <v>2</v>
      </c>
      <c r="E5" s="20">
        <f>ROUND(AVERAGE('Feature Matrix'!$F5:$S5)/3*100,1)</f>
        <v>100</v>
      </c>
      <c r="F5" s="20">
        <f>ROUND(AVERAGE('Feature Matrix'!$T5:$AI5)/3*100,1)</f>
        <v>93.8</v>
      </c>
      <c r="G5" s="20">
        <f>ROUND(AVERAGE('Feature Matrix'!$AJ5:$AW5)/3*100,1)</f>
        <v>97.6</v>
      </c>
      <c r="H5" s="20">
        <f>ROUND(AVERAGE('Feature Matrix'!$AX5:$BL5)/3*100,1)</f>
        <v>100</v>
      </c>
      <c r="I5" s="20">
        <f>ROUND(AVERAGE('Feature Matrix'!$BM5:$BZ5)/3*100,1)</f>
        <v>57.1</v>
      </c>
      <c r="J5" s="20">
        <f>ROUND(AVERAGE('Feature Matrix'!$CA5:$CN5)/3*100,1)</f>
        <v>100</v>
      </c>
      <c r="K5" s="20">
        <f>ROUND(AVERAGE('Feature Matrix'!$CO5:$DD5)/3*100,1)</f>
        <v>93.8</v>
      </c>
      <c r="L5" s="20">
        <f>ROUND(AVERAGE('Feature Matrix'!$DE5:$DQ5)/3*100,1)</f>
        <v>97.4</v>
      </c>
      <c r="M5" s="20">
        <f>ROUND(AVERAGE('Feature Matrix'!$DR5:$EB5)/3*100,1)</f>
        <v>100</v>
      </c>
      <c r="N5" s="20">
        <f>ROUND(AVERAGE('Feature Matrix'!$EC5:$EO5)/3*100,1)</f>
        <v>61.5</v>
      </c>
    </row>
    <row r="6" ht="15.0" customHeight="1">
      <c r="A6" s="17" t="s">
        <v>39</v>
      </c>
      <c r="B6" s="17" t="s">
        <v>25</v>
      </c>
      <c r="C6" s="20">
        <f t="shared" si="1"/>
        <v>84.2</v>
      </c>
      <c r="D6" s="21">
        <f t="shared" si="2"/>
        <v>7</v>
      </c>
      <c r="E6" s="20">
        <f>ROUND(AVERAGE('Feature Matrix'!$F6:$S6)/3*100,1)</f>
        <v>100</v>
      </c>
      <c r="F6" s="20">
        <f>ROUND(AVERAGE('Feature Matrix'!$T6:$AI6)/3*100,1)</f>
        <v>93.8</v>
      </c>
      <c r="G6" s="20">
        <f>ROUND(AVERAGE('Feature Matrix'!$AJ6:$AW6)/3*100,1)</f>
        <v>97.6</v>
      </c>
      <c r="H6" s="20">
        <f>ROUND(AVERAGE('Feature Matrix'!$AX6:$BL6)/3*100,1)</f>
        <v>100</v>
      </c>
      <c r="I6" s="20">
        <f>ROUND(AVERAGE('Feature Matrix'!$BM6:$BZ6)/3*100,1)</f>
        <v>57.1</v>
      </c>
      <c r="J6" s="20">
        <f>ROUND(AVERAGE('Feature Matrix'!$CA6:$CN6)/3*100,1)</f>
        <v>100</v>
      </c>
      <c r="K6" s="20">
        <f>ROUND(AVERAGE('Feature Matrix'!$CO6:$DD6)/3*100,1)</f>
        <v>93.8</v>
      </c>
      <c r="L6" s="20">
        <f>ROUND(AVERAGE('Feature Matrix'!$DE6:$DQ6)/3*100,1)</f>
        <v>92.3</v>
      </c>
      <c r="M6" s="20">
        <f>ROUND(AVERAGE('Feature Matrix'!$DR6:$EB6)/3*100,1)</f>
        <v>72.7</v>
      </c>
      <c r="N6" s="20">
        <f>ROUND(AVERAGE('Feature Matrix'!$EC6:$EO6)/3*100,1)</f>
        <v>28.2</v>
      </c>
    </row>
    <row r="7" ht="15.0" customHeight="1">
      <c r="A7" s="17" t="s">
        <v>199</v>
      </c>
      <c r="B7" s="17" t="s">
        <v>200</v>
      </c>
      <c r="C7" s="20">
        <f t="shared" si="1"/>
        <v>69.6</v>
      </c>
      <c r="D7" s="21">
        <f t="shared" si="2"/>
        <v>24</v>
      </c>
      <c r="E7" s="20">
        <f>ROUND(AVERAGE('Feature Matrix'!$F7:$S7)/3*100,1)</f>
        <v>78.6</v>
      </c>
      <c r="F7" s="20">
        <f>ROUND(AVERAGE('Feature Matrix'!$T7:$AI7)/3*100,1)</f>
        <v>47.9</v>
      </c>
      <c r="G7" s="20">
        <f>ROUND(AVERAGE('Feature Matrix'!$AJ7:$AW7)/3*100,1)</f>
        <v>64.3</v>
      </c>
      <c r="H7" s="20">
        <f>ROUND(AVERAGE('Feature Matrix'!$AX7:$BL7)/3*100,1)</f>
        <v>66.7</v>
      </c>
      <c r="I7" s="20">
        <f>ROUND(AVERAGE('Feature Matrix'!$BM7:$BZ7)/3*100,1)</f>
        <v>61.9</v>
      </c>
      <c r="J7" s="20">
        <f>ROUND(AVERAGE('Feature Matrix'!$CA7:$CN7)/3*100,1)</f>
        <v>61.9</v>
      </c>
      <c r="K7" s="20">
        <f>ROUND(AVERAGE('Feature Matrix'!$CO7:$DD7)/3*100,1)</f>
        <v>60.4</v>
      </c>
      <c r="L7" s="20">
        <f>ROUND(AVERAGE('Feature Matrix'!$DE7:$DQ7)/3*100,1)</f>
        <v>100</v>
      </c>
      <c r="M7" s="20">
        <f>ROUND(AVERAGE('Feature Matrix'!$DR7:$EB7)/3*100,1)</f>
        <v>100</v>
      </c>
      <c r="N7" s="20">
        <f>ROUND(AVERAGE('Feature Matrix'!$EC7:$EO7)/3*100,1)</f>
        <v>61.5</v>
      </c>
    </row>
    <row r="8" ht="15.0" customHeight="1">
      <c r="A8" s="17" t="s">
        <v>202</v>
      </c>
      <c r="B8" s="17" t="s">
        <v>200</v>
      </c>
      <c r="C8" s="20">
        <f t="shared" si="1"/>
        <v>78.8</v>
      </c>
      <c r="D8" s="21">
        <f t="shared" si="2"/>
        <v>13</v>
      </c>
      <c r="E8" s="20">
        <f>ROUND(AVERAGE('Feature Matrix'!$F8:$S8)/3*100,1)</f>
        <v>100</v>
      </c>
      <c r="F8" s="20">
        <f>ROUND(AVERAGE('Feature Matrix'!$T8:$AI8)/3*100,1)</f>
        <v>54.2</v>
      </c>
      <c r="G8" s="20">
        <f>ROUND(AVERAGE('Feature Matrix'!$AJ8:$AW8)/3*100,1)</f>
        <v>97.6</v>
      </c>
      <c r="H8" s="20">
        <f>ROUND(AVERAGE('Feature Matrix'!$AX8:$BL8)/3*100,1)</f>
        <v>66.7</v>
      </c>
      <c r="I8" s="20">
        <f>ROUND(AVERAGE('Feature Matrix'!$BM8:$BZ8)/3*100,1)</f>
        <v>61.9</v>
      </c>
      <c r="J8" s="20">
        <f>ROUND(AVERAGE('Feature Matrix'!$CA8:$CN8)/3*100,1)</f>
        <v>61.9</v>
      </c>
      <c r="K8" s="20">
        <f>ROUND(AVERAGE('Feature Matrix'!$CO8:$DD8)/3*100,1)</f>
        <v>60.4</v>
      </c>
      <c r="L8" s="20">
        <f>ROUND(AVERAGE('Feature Matrix'!$DE8:$DQ8)/3*100,1)</f>
        <v>100</v>
      </c>
      <c r="M8" s="20">
        <f>ROUND(AVERAGE('Feature Matrix'!$DR8:$EB8)/3*100,1)</f>
        <v>100</v>
      </c>
      <c r="N8" s="20">
        <f>ROUND(AVERAGE('Feature Matrix'!$EC8:$EO8)/3*100,1)</f>
        <v>89.7</v>
      </c>
    </row>
    <row r="9" ht="15.0" customHeight="1">
      <c r="A9" s="17" t="s">
        <v>41</v>
      </c>
      <c r="B9" s="17" t="s">
        <v>42</v>
      </c>
      <c r="C9" s="20">
        <f t="shared" si="1"/>
        <v>83.8</v>
      </c>
      <c r="D9" s="21">
        <f t="shared" si="2"/>
        <v>8</v>
      </c>
      <c r="E9" s="20">
        <f>ROUND(AVERAGE('Feature Matrix'!$F9:$S9)/3*100,1)</f>
        <v>100</v>
      </c>
      <c r="F9" s="20">
        <f>ROUND(AVERAGE('Feature Matrix'!$T9:$AI9)/3*100,1)</f>
        <v>81.3</v>
      </c>
      <c r="G9" s="20">
        <f>ROUND(AVERAGE('Feature Matrix'!$AJ9:$AW9)/3*100,1)</f>
        <v>97.6</v>
      </c>
      <c r="H9" s="20">
        <f>ROUND(AVERAGE('Feature Matrix'!$AX9:$BL9)/3*100,1)</f>
        <v>66.7</v>
      </c>
      <c r="I9" s="20">
        <f>ROUND(AVERAGE('Feature Matrix'!$BM9:$BZ9)/3*100,1)</f>
        <v>61.9</v>
      </c>
      <c r="J9" s="20">
        <f>ROUND(AVERAGE('Feature Matrix'!$CA9:$CN9)/3*100,1)</f>
        <v>100</v>
      </c>
      <c r="K9" s="20">
        <f>ROUND(AVERAGE('Feature Matrix'!$CO9:$DD9)/3*100,1)</f>
        <v>93.8</v>
      </c>
      <c r="L9" s="20">
        <f>ROUND(AVERAGE('Feature Matrix'!$DE9:$DQ9)/3*100,1)</f>
        <v>100</v>
      </c>
      <c r="M9" s="20">
        <f>ROUND(AVERAGE('Feature Matrix'!$DR9:$EB9)/3*100,1)</f>
        <v>72.7</v>
      </c>
      <c r="N9" s="20">
        <f>ROUND(AVERAGE('Feature Matrix'!$EC9:$EO9)/3*100,1)</f>
        <v>61.5</v>
      </c>
    </row>
    <row r="10" ht="15.0" customHeight="1">
      <c r="A10" s="17" t="s">
        <v>34</v>
      </c>
      <c r="B10" s="17" t="s">
        <v>20</v>
      </c>
      <c r="C10" s="20">
        <f t="shared" si="1"/>
        <v>87.9</v>
      </c>
      <c r="D10" s="21">
        <f t="shared" si="2"/>
        <v>5</v>
      </c>
      <c r="E10" s="20">
        <f>ROUND(AVERAGE('Feature Matrix'!$F10:$S10)/3*100,1)</f>
        <v>100</v>
      </c>
      <c r="F10" s="20">
        <f>ROUND(AVERAGE('Feature Matrix'!$T10:$AI10)/3*100,1)</f>
        <v>93.8</v>
      </c>
      <c r="G10" s="20">
        <f>ROUND(AVERAGE('Feature Matrix'!$AJ10:$AW10)/3*100,1)</f>
        <v>57.1</v>
      </c>
      <c r="H10" s="20">
        <f>ROUND(AVERAGE('Feature Matrix'!$AX10:$BL10)/3*100,1)</f>
        <v>100</v>
      </c>
      <c r="I10" s="20">
        <f>ROUND(AVERAGE('Feature Matrix'!$BM10:$BZ10)/3*100,1)</f>
        <v>100</v>
      </c>
      <c r="J10" s="20">
        <f>ROUND(AVERAGE('Feature Matrix'!$CA10:$CN10)/3*100,1)</f>
        <v>100</v>
      </c>
      <c r="K10" s="20">
        <f>ROUND(AVERAGE('Feature Matrix'!$CO10:$DD10)/3*100,1)</f>
        <v>93.8</v>
      </c>
      <c r="L10" s="20">
        <f>ROUND(AVERAGE('Feature Matrix'!$DE10:$DQ10)/3*100,1)</f>
        <v>30.8</v>
      </c>
      <c r="M10" s="20">
        <f>ROUND(AVERAGE('Feature Matrix'!$DR10:$EB10)/3*100,1)</f>
        <v>100</v>
      </c>
      <c r="N10" s="20">
        <f>ROUND(AVERAGE('Feature Matrix'!$EC10:$EO10)/3*100,1)</f>
        <v>97.4</v>
      </c>
    </row>
    <row r="11" ht="15.0" customHeight="1">
      <c r="A11" s="17" t="s">
        <v>205</v>
      </c>
      <c r="B11" s="17" t="s">
        <v>20</v>
      </c>
      <c r="C11" s="20">
        <f t="shared" si="1"/>
        <v>82.2</v>
      </c>
      <c r="D11" s="21">
        <f t="shared" si="2"/>
        <v>11</v>
      </c>
      <c r="E11" s="20">
        <f>ROUND(AVERAGE('Feature Matrix'!$F11:$S11)/3*100,1)</f>
        <v>100</v>
      </c>
      <c r="F11" s="20">
        <f>ROUND(AVERAGE('Feature Matrix'!$T11:$AI11)/3*100,1)</f>
        <v>95.8</v>
      </c>
      <c r="G11" s="20">
        <f>ROUND(AVERAGE('Feature Matrix'!$AJ11:$AW11)/3*100,1)</f>
        <v>57.1</v>
      </c>
      <c r="H11" s="20">
        <f>ROUND(AVERAGE('Feature Matrix'!$AX11:$BL11)/3*100,1)</f>
        <v>100</v>
      </c>
      <c r="I11" s="20">
        <f>ROUND(AVERAGE('Feature Matrix'!$BM11:$BZ11)/3*100,1)</f>
        <v>66.7</v>
      </c>
      <c r="J11" s="20">
        <f>ROUND(AVERAGE('Feature Matrix'!$CA11:$CN11)/3*100,1)</f>
        <v>100</v>
      </c>
      <c r="K11" s="20">
        <f>ROUND(AVERAGE('Feature Matrix'!$CO11:$DD11)/3*100,1)</f>
        <v>93.8</v>
      </c>
      <c r="L11" s="20">
        <f>ROUND(AVERAGE('Feature Matrix'!$DE11:$DQ11)/3*100,1)</f>
        <v>38.5</v>
      </c>
      <c r="M11" s="20">
        <f>ROUND(AVERAGE('Feature Matrix'!$DR11:$EB11)/3*100,1)</f>
        <v>100</v>
      </c>
      <c r="N11" s="20">
        <f>ROUND(AVERAGE('Feature Matrix'!$EC11:$EO11)/3*100,1)</f>
        <v>61.5</v>
      </c>
    </row>
    <row r="12" ht="15.0" customHeight="1">
      <c r="A12" s="17" t="s">
        <v>19</v>
      </c>
      <c r="B12" s="17" t="s">
        <v>20</v>
      </c>
      <c r="C12" s="20">
        <f t="shared" si="1"/>
        <v>90.7</v>
      </c>
      <c r="D12" s="21">
        <f t="shared" si="2"/>
        <v>1</v>
      </c>
      <c r="E12" s="20">
        <f>ROUND(AVERAGE('Feature Matrix'!$F12:$S12)/3*100,1)</f>
        <v>100</v>
      </c>
      <c r="F12" s="20">
        <f>ROUND(AVERAGE('Feature Matrix'!$T12:$AI12)/3*100,1)</f>
        <v>95.8</v>
      </c>
      <c r="G12" s="20">
        <f>ROUND(AVERAGE('Feature Matrix'!$AJ12:$AW12)/3*100,1)</f>
        <v>95.2</v>
      </c>
      <c r="H12" s="20">
        <f>ROUND(AVERAGE('Feature Matrix'!$AX12:$BL12)/3*100,1)</f>
        <v>100</v>
      </c>
      <c r="I12" s="20">
        <f>ROUND(AVERAGE('Feature Matrix'!$BM12:$BZ12)/3*100,1)</f>
        <v>100</v>
      </c>
      <c r="J12" s="20">
        <f>ROUND(AVERAGE('Feature Matrix'!$CA12:$CN12)/3*100,1)</f>
        <v>100</v>
      </c>
      <c r="K12" s="20">
        <f>ROUND(AVERAGE('Feature Matrix'!$CO12:$DD12)/3*100,1)</f>
        <v>60.4</v>
      </c>
      <c r="L12" s="20">
        <f>ROUND(AVERAGE('Feature Matrix'!$DE12:$DQ12)/3*100,1)</f>
        <v>59</v>
      </c>
      <c r="M12" s="20">
        <f>ROUND(AVERAGE('Feature Matrix'!$DR12:$EB12)/3*100,1)</f>
        <v>100</v>
      </c>
      <c r="N12" s="20">
        <f>ROUND(AVERAGE('Feature Matrix'!$EC12:$EO12)/3*100,1)</f>
        <v>94.9</v>
      </c>
    </row>
    <row r="13" ht="15.0" customHeight="1">
      <c r="A13" s="17" t="s">
        <v>207</v>
      </c>
      <c r="B13" s="17" t="s">
        <v>208</v>
      </c>
      <c r="C13" s="20">
        <f t="shared" si="1"/>
        <v>51.5</v>
      </c>
      <c r="D13" s="21">
        <f t="shared" si="2"/>
        <v>31</v>
      </c>
      <c r="E13" s="20">
        <f>ROUND(AVERAGE('Feature Matrix'!$F13:$S13)/3*100,1)</f>
        <v>78.6</v>
      </c>
      <c r="F13" s="20">
        <f>ROUND(AVERAGE('Feature Matrix'!$T13:$AI13)/3*100,1)</f>
        <v>27.1</v>
      </c>
      <c r="G13" s="20">
        <f>ROUND(AVERAGE('Feature Matrix'!$AJ13:$AW13)/3*100,1)</f>
        <v>23.8</v>
      </c>
      <c r="H13" s="20">
        <f>ROUND(AVERAGE('Feature Matrix'!$AX13:$BL13)/3*100,1)</f>
        <v>66.7</v>
      </c>
      <c r="I13" s="20">
        <f>ROUND(AVERAGE('Feature Matrix'!$BM13:$BZ13)/3*100,1)</f>
        <v>66.7</v>
      </c>
      <c r="J13" s="20">
        <f>ROUND(AVERAGE('Feature Matrix'!$CA13:$CN13)/3*100,1)</f>
        <v>33.3</v>
      </c>
      <c r="K13" s="20">
        <f>ROUND(AVERAGE('Feature Matrix'!$CO13:$DD13)/3*100,1)</f>
        <v>60.4</v>
      </c>
      <c r="L13" s="20">
        <f>ROUND(AVERAGE('Feature Matrix'!$DE13:$DQ13)/3*100,1)</f>
        <v>33.3</v>
      </c>
      <c r="M13" s="20">
        <f>ROUND(AVERAGE('Feature Matrix'!$DR13:$EB13)/3*100,1)</f>
        <v>100</v>
      </c>
      <c r="N13" s="20">
        <f>ROUND(AVERAGE('Feature Matrix'!$EC13:$EO13)/3*100,1)</f>
        <v>28.2</v>
      </c>
    </row>
    <row r="14" ht="15.0" customHeight="1">
      <c r="A14" s="17" t="s">
        <v>31</v>
      </c>
      <c r="B14" s="17" t="s">
        <v>32</v>
      </c>
      <c r="C14" s="20">
        <f t="shared" si="1"/>
        <v>88.6</v>
      </c>
      <c r="D14" s="21">
        <f t="shared" si="2"/>
        <v>4</v>
      </c>
      <c r="E14" s="20">
        <f>ROUND(AVERAGE('Feature Matrix'!$F14:$S14)/3*100,1)</f>
        <v>100</v>
      </c>
      <c r="F14" s="20">
        <f>ROUND(AVERAGE('Feature Matrix'!$T14:$AI14)/3*100,1)</f>
        <v>95.8</v>
      </c>
      <c r="G14" s="20">
        <f>ROUND(AVERAGE('Feature Matrix'!$AJ14:$AW14)/3*100,1)</f>
        <v>64.3</v>
      </c>
      <c r="H14" s="20">
        <f>ROUND(AVERAGE('Feature Matrix'!$AX14:$BL14)/3*100,1)</f>
        <v>100</v>
      </c>
      <c r="I14" s="20">
        <f>ROUND(AVERAGE('Feature Matrix'!$BM14:$BZ14)/3*100,1)</f>
        <v>100</v>
      </c>
      <c r="J14" s="20">
        <f>ROUND(AVERAGE('Feature Matrix'!$CA14:$CN14)/3*100,1)</f>
        <v>100</v>
      </c>
      <c r="K14" s="20">
        <f>ROUND(AVERAGE('Feature Matrix'!$CO14:$DD14)/3*100,1)</f>
        <v>93.8</v>
      </c>
      <c r="L14" s="20">
        <f>ROUND(AVERAGE('Feature Matrix'!$DE14:$DQ14)/3*100,1)</f>
        <v>30.8</v>
      </c>
      <c r="M14" s="20">
        <f>ROUND(AVERAGE('Feature Matrix'!$DR14:$EB14)/3*100,1)</f>
        <v>100</v>
      </c>
      <c r="N14" s="20">
        <f>ROUND(AVERAGE('Feature Matrix'!$EC14:$EO14)/3*100,1)</f>
        <v>94.9</v>
      </c>
    </row>
    <row r="15" ht="15.0" customHeight="1">
      <c r="A15" s="17" t="s">
        <v>209</v>
      </c>
      <c r="B15" s="17" t="s">
        <v>210</v>
      </c>
      <c r="C15" s="20">
        <f t="shared" si="1"/>
        <v>81.3</v>
      </c>
      <c r="D15" s="21">
        <f t="shared" si="2"/>
        <v>12</v>
      </c>
      <c r="E15" s="20">
        <f>ROUND(AVERAGE('Feature Matrix'!$F15:$S15)/3*100,1)</f>
        <v>100</v>
      </c>
      <c r="F15" s="20">
        <f>ROUND(AVERAGE('Feature Matrix'!$T15:$AI15)/3*100,1)</f>
        <v>95.8</v>
      </c>
      <c r="G15" s="20">
        <f>ROUND(AVERAGE('Feature Matrix'!$AJ15:$AW15)/3*100,1)</f>
        <v>57.1</v>
      </c>
      <c r="H15" s="20">
        <f>ROUND(AVERAGE('Feature Matrix'!$AX15:$BL15)/3*100,1)</f>
        <v>100</v>
      </c>
      <c r="I15" s="20">
        <f>ROUND(AVERAGE('Feature Matrix'!$BM15:$BZ15)/3*100,1)</f>
        <v>64.3</v>
      </c>
      <c r="J15" s="20">
        <f>ROUND(AVERAGE('Feature Matrix'!$CA15:$CN15)/3*100,1)</f>
        <v>100</v>
      </c>
      <c r="K15" s="20">
        <f>ROUND(AVERAGE('Feature Matrix'!$CO15:$DD15)/3*100,1)</f>
        <v>93.8</v>
      </c>
      <c r="L15" s="20">
        <f>ROUND(AVERAGE('Feature Matrix'!$DE15:$DQ15)/3*100,1)</f>
        <v>30.8</v>
      </c>
      <c r="M15" s="20">
        <f>ROUND(AVERAGE('Feature Matrix'!$DR15:$EB15)/3*100,1)</f>
        <v>100</v>
      </c>
      <c r="N15" s="20">
        <f>ROUND(AVERAGE('Feature Matrix'!$EC15:$EO15)/3*100,1)</f>
        <v>61.5</v>
      </c>
    </row>
    <row r="16" ht="15.0" customHeight="1">
      <c r="A16" s="17" t="s">
        <v>211</v>
      </c>
      <c r="B16" s="17" t="s">
        <v>212</v>
      </c>
      <c r="C16" s="20">
        <f t="shared" si="1"/>
        <v>74.5</v>
      </c>
      <c r="D16" s="21">
        <f t="shared" si="2"/>
        <v>19</v>
      </c>
      <c r="E16" s="20">
        <f>ROUND(AVERAGE('Feature Matrix'!$F16:$S16)/3*100,1)</f>
        <v>100</v>
      </c>
      <c r="F16" s="20">
        <f>ROUND(AVERAGE('Feature Matrix'!$T16:$AI16)/3*100,1)</f>
        <v>58.3</v>
      </c>
      <c r="G16" s="20">
        <f>ROUND(AVERAGE('Feature Matrix'!$AJ16:$AW16)/3*100,1)</f>
        <v>28.6</v>
      </c>
      <c r="H16" s="20">
        <f>ROUND(AVERAGE('Feature Matrix'!$AX16:$BL16)/3*100,1)</f>
        <v>100</v>
      </c>
      <c r="I16" s="20">
        <f>ROUND(AVERAGE('Feature Matrix'!$BM16:$BZ16)/3*100,1)</f>
        <v>66.7</v>
      </c>
      <c r="J16" s="20">
        <f>ROUND(AVERAGE('Feature Matrix'!$CA16:$CN16)/3*100,1)</f>
        <v>64.3</v>
      </c>
      <c r="K16" s="20">
        <f>ROUND(AVERAGE('Feature Matrix'!$CO16:$DD16)/3*100,1)</f>
        <v>93.8</v>
      </c>
      <c r="L16" s="20">
        <f>ROUND(AVERAGE('Feature Matrix'!$DE16:$DQ16)/3*100,1)</f>
        <v>33.3</v>
      </c>
      <c r="M16" s="20">
        <f>ROUND(AVERAGE('Feature Matrix'!$DR16:$EB16)/3*100,1)</f>
        <v>100</v>
      </c>
      <c r="N16" s="20">
        <f>ROUND(AVERAGE('Feature Matrix'!$EC16:$EO16)/3*100,1)</f>
        <v>94.9</v>
      </c>
    </row>
    <row r="17" ht="15.0" customHeight="1">
      <c r="A17" s="17" t="s">
        <v>213</v>
      </c>
      <c r="B17" s="17" t="s">
        <v>214</v>
      </c>
      <c r="C17" s="20">
        <f t="shared" si="1"/>
        <v>62.2</v>
      </c>
      <c r="D17" s="21">
        <f t="shared" si="2"/>
        <v>27</v>
      </c>
      <c r="E17" s="20">
        <f>ROUND(AVERAGE('Feature Matrix'!$F17:$S17)/3*100,1)</f>
        <v>78.6</v>
      </c>
      <c r="F17" s="20">
        <f>ROUND(AVERAGE('Feature Matrix'!$T17:$AI17)/3*100,1)</f>
        <v>58.3</v>
      </c>
      <c r="G17" s="20">
        <f>ROUND(AVERAGE('Feature Matrix'!$AJ17:$AW17)/3*100,1)</f>
        <v>26.2</v>
      </c>
      <c r="H17" s="20">
        <f>ROUND(AVERAGE('Feature Matrix'!$AX17:$BL17)/3*100,1)</f>
        <v>66.7</v>
      </c>
      <c r="I17" s="20">
        <f>ROUND(AVERAGE('Feature Matrix'!$BM17:$BZ17)/3*100,1)</f>
        <v>100</v>
      </c>
      <c r="J17" s="20">
        <f>ROUND(AVERAGE('Feature Matrix'!$CA17:$CN17)/3*100,1)</f>
        <v>31</v>
      </c>
      <c r="K17" s="20">
        <f>ROUND(AVERAGE('Feature Matrix'!$CO17:$DD17)/3*100,1)</f>
        <v>60.4</v>
      </c>
      <c r="L17" s="20">
        <f>ROUND(AVERAGE('Feature Matrix'!$DE17:$DQ17)/3*100,1)</f>
        <v>33.3</v>
      </c>
      <c r="M17" s="20">
        <f>ROUND(AVERAGE('Feature Matrix'!$DR17:$EB17)/3*100,1)</f>
        <v>72.7</v>
      </c>
      <c r="N17" s="20">
        <f>ROUND(AVERAGE('Feature Matrix'!$EC17:$EO17)/3*100,1)</f>
        <v>94.9</v>
      </c>
    </row>
    <row r="18" ht="15.0" customHeight="1">
      <c r="A18" s="17" t="s">
        <v>215</v>
      </c>
      <c r="B18" s="17" t="s">
        <v>216</v>
      </c>
      <c r="C18" s="20">
        <f t="shared" si="1"/>
        <v>68.6</v>
      </c>
      <c r="D18" s="21">
        <f t="shared" si="2"/>
        <v>25</v>
      </c>
      <c r="E18" s="20">
        <f>ROUND(AVERAGE('Feature Matrix'!$F18:$S18)/3*100,1)</f>
        <v>78.6</v>
      </c>
      <c r="F18" s="20">
        <f>ROUND(AVERAGE('Feature Matrix'!$T18:$AI18)/3*100,1)</f>
        <v>60.4</v>
      </c>
      <c r="G18" s="20">
        <f>ROUND(AVERAGE('Feature Matrix'!$AJ18:$AW18)/3*100,1)</f>
        <v>26.2</v>
      </c>
      <c r="H18" s="20">
        <f>ROUND(AVERAGE('Feature Matrix'!$AX18:$BL18)/3*100,1)</f>
        <v>100</v>
      </c>
      <c r="I18" s="20">
        <f>ROUND(AVERAGE('Feature Matrix'!$BM18:$BZ18)/3*100,1)</f>
        <v>100</v>
      </c>
      <c r="J18" s="20">
        <f>ROUND(AVERAGE('Feature Matrix'!$CA18:$CN18)/3*100,1)</f>
        <v>66.7</v>
      </c>
      <c r="K18" s="20">
        <f>ROUND(AVERAGE('Feature Matrix'!$CO18:$DD18)/3*100,1)</f>
        <v>60.4</v>
      </c>
      <c r="L18" s="20">
        <f>ROUND(AVERAGE('Feature Matrix'!$DE18:$DQ18)/3*100,1)</f>
        <v>33.3</v>
      </c>
      <c r="M18" s="20">
        <f>ROUND(AVERAGE('Feature Matrix'!$DR18:$EB18)/3*100,1)</f>
        <v>100</v>
      </c>
      <c r="N18" s="20">
        <f>ROUND(AVERAGE('Feature Matrix'!$EC18:$EO18)/3*100,1)</f>
        <v>61.5</v>
      </c>
    </row>
    <row r="19" ht="15.0" customHeight="1">
      <c r="A19" s="17" t="s">
        <v>217</v>
      </c>
      <c r="B19" s="17" t="s">
        <v>218</v>
      </c>
      <c r="C19" s="20">
        <f t="shared" si="1"/>
        <v>33.9</v>
      </c>
      <c r="D19" s="21">
        <f t="shared" si="2"/>
        <v>35</v>
      </c>
      <c r="E19" s="20">
        <f>ROUND(AVERAGE('Feature Matrix'!$F19:$S19)/3*100,1)</f>
        <v>78.6</v>
      </c>
      <c r="F19" s="20">
        <f>ROUND(AVERAGE('Feature Matrix'!$T19:$AI19)/3*100,1)</f>
        <v>29.2</v>
      </c>
      <c r="G19" s="20">
        <f>ROUND(AVERAGE('Feature Matrix'!$AJ19:$AW19)/3*100,1)</f>
        <v>0</v>
      </c>
      <c r="H19" s="20">
        <f>ROUND(AVERAGE('Feature Matrix'!$AX19:$BL19)/3*100,1)</f>
        <v>33.3</v>
      </c>
      <c r="I19" s="20">
        <f>ROUND(AVERAGE('Feature Matrix'!$BM19:$BZ19)/3*100,1)</f>
        <v>95.2</v>
      </c>
      <c r="J19" s="20">
        <f>ROUND(AVERAGE('Feature Matrix'!$CA19:$CN19)/3*100,1)</f>
        <v>33.3</v>
      </c>
      <c r="K19" s="20">
        <f>ROUND(AVERAGE('Feature Matrix'!$CO19:$DD19)/3*100,1)</f>
        <v>27.1</v>
      </c>
      <c r="L19" s="20">
        <f>ROUND(AVERAGE('Feature Matrix'!$DE19:$DQ19)/3*100,1)</f>
        <v>2.6</v>
      </c>
      <c r="M19" s="20">
        <f>ROUND(AVERAGE('Feature Matrix'!$DR19:$EB19)/3*100,1)</f>
        <v>39.4</v>
      </c>
      <c r="N19" s="20">
        <f>ROUND(AVERAGE('Feature Matrix'!$EC19:$EO19)/3*100,1)</f>
        <v>0</v>
      </c>
    </row>
    <row r="20" ht="15.0" customHeight="1">
      <c r="A20" s="17" t="s">
        <v>219</v>
      </c>
      <c r="B20" s="17" t="s">
        <v>220</v>
      </c>
      <c r="C20" s="20">
        <f t="shared" si="1"/>
        <v>35.1</v>
      </c>
      <c r="D20" s="21">
        <f t="shared" si="2"/>
        <v>34</v>
      </c>
      <c r="E20" s="20">
        <f>ROUND(AVERAGE('Feature Matrix'!$F20:$S20)/3*100,1)</f>
        <v>81</v>
      </c>
      <c r="F20" s="20">
        <f>ROUND(AVERAGE('Feature Matrix'!$T20:$AI20)/3*100,1)</f>
        <v>29.2</v>
      </c>
      <c r="G20" s="20">
        <f>ROUND(AVERAGE('Feature Matrix'!$AJ20:$AW20)/3*100,1)</f>
        <v>0</v>
      </c>
      <c r="H20" s="20">
        <f>ROUND(AVERAGE('Feature Matrix'!$AX20:$BL20)/3*100,1)</f>
        <v>33.3</v>
      </c>
      <c r="I20" s="20">
        <f>ROUND(AVERAGE('Feature Matrix'!$BM20:$BZ20)/3*100,1)</f>
        <v>33.3</v>
      </c>
      <c r="J20" s="20">
        <f>ROUND(AVERAGE('Feature Matrix'!$CA20:$CN20)/3*100,1)</f>
        <v>38.1</v>
      </c>
      <c r="K20" s="20">
        <f>ROUND(AVERAGE('Feature Matrix'!$CO20:$DD20)/3*100,1)</f>
        <v>27.1</v>
      </c>
      <c r="L20" s="20">
        <f>ROUND(AVERAGE('Feature Matrix'!$DE20:$DQ20)/3*100,1)</f>
        <v>5.1</v>
      </c>
      <c r="M20" s="20">
        <f>ROUND(AVERAGE('Feature Matrix'!$DR20:$EB20)/3*100,1)</f>
        <v>72.7</v>
      </c>
      <c r="N20" s="20">
        <f>ROUND(AVERAGE('Feature Matrix'!$EC20:$EO20)/3*100,1)</f>
        <v>28.2</v>
      </c>
    </row>
    <row r="21" ht="15.0" customHeight="1">
      <c r="A21" s="17" t="s">
        <v>221</v>
      </c>
      <c r="B21" s="17" t="s">
        <v>222</v>
      </c>
      <c r="C21" s="20">
        <f t="shared" si="1"/>
        <v>51.5</v>
      </c>
      <c r="D21" s="21">
        <f t="shared" si="2"/>
        <v>31</v>
      </c>
      <c r="E21" s="20">
        <f>ROUND(AVERAGE('Feature Matrix'!$F21:$S21)/3*100,1)</f>
        <v>78.6</v>
      </c>
      <c r="F21" s="20">
        <f>ROUND(AVERAGE('Feature Matrix'!$T21:$AI21)/3*100,1)</f>
        <v>64.6</v>
      </c>
      <c r="G21" s="20">
        <f>ROUND(AVERAGE('Feature Matrix'!$AJ21:$AW21)/3*100,1)</f>
        <v>31</v>
      </c>
      <c r="H21" s="20">
        <f>ROUND(AVERAGE('Feature Matrix'!$AX21:$BL21)/3*100,1)</f>
        <v>33.3</v>
      </c>
      <c r="I21" s="20">
        <f>ROUND(AVERAGE('Feature Matrix'!$BM21:$BZ21)/3*100,1)</f>
        <v>66.7</v>
      </c>
      <c r="J21" s="20">
        <f>ROUND(AVERAGE('Feature Matrix'!$CA21:$CN21)/3*100,1)</f>
        <v>66.7</v>
      </c>
      <c r="K21" s="20">
        <f>ROUND(AVERAGE('Feature Matrix'!$CO21:$DD21)/3*100,1)</f>
        <v>60.4</v>
      </c>
      <c r="L21" s="20">
        <f>ROUND(AVERAGE('Feature Matrix'!$DE21:$DQ21)/3*100,1)</f>
        <v>2.6</v>
      </c>
      <c r="M21" s="20">
        <f>ROUND(AVERAGE('Feature Matrix'!$DR21:$EB21)/3*100,1)</f>
        <v>78.8</v>
      </c>
      <c r="N21" s="20">
        <f>ROUND(AVERAGE('Feature Matrix'!$EC21:$EO21)/3*100,1)</f>
        <v>28.2</v>
      </c>
    </row>
    <row r="22" ht="15.0" customHeight="1">
      <c r="A22" s="17" t="s">
        <v>224</v>
      </c>
      <c r="B22" s="17" t="s">
        <v>225</v>
      </c>
      <c r="C22" s="20">
        <f t="shared" si="1"/>
        <v>65.5</v>
      </c>
      <c r="D22" s="21">
        <f t="shared" si="2"/>
        <v>26</v>
      </c>
      <c r="E22" s="20">
        <f>ROUND(AVERAGE('Feature Matrix'!$F22:$S22)/3*100,1)</f>
        <v>78.6</v>
      </c>
      <c r="F22" s="20">
        <f>ROUND(AVERAGE('Feature Matrix'!$T22:$AI22)/3*100,1)</f>
        <v>100</v>
      </c>
      <c r="G22" s="20">
        <f>ROUND(AVERAGE('Feature Matrix'!$AJ22:$AW22)/3*100,1)</f>
        <v>31</v>
      </c>
      <c r="H22" s="20">
        <f>ROUND(AVERAGE('Feature Matrix'!$AX22:$BL22)/3*100,1)</f>
        <v>66.7</v>
      </c>
      <c r="I22" s="20">
        <f>ROUND(AVERAGE('Feature Matrix'!$BM22:$BZ22)/3*100,1)</f>
        <v>66.7</v>
      </c>
      <c r="J22" s="20">
        <f>ROUND(AVERAGE('Feature Matrix'!$CA22:$CN22)/3*100,1)</f>
        <v>100</v>
      </c>
      <c r="K22" s="20">
        <f>ROUND(AVERAGE('Feature Matrix'!$CO22:$DD22)/3*100,1)</f>
        <v>93.8</v>
      </c>
      <c r="L22" s="20">
        <f>ROUND(AVERAGE('Feature Matrix'!$DE22:$DQ22)/3*100,1)</f>
        <v>2.6</v>
      </c>
      <c r="M22" s="20">
        <f>ROUND(AVERAGE('Feature Matrix'!$DR22:$EB22)/3*100,1)</f>
        <v>75.8</v>
      </c>
      <c r="N22" s="20">
        <f>ROUND(AVERAGE('Feature Matrix'!$EC22:$EO22)/3*100,1)</f>
        <v>28.2</v>
      </c>
    </row>
    <row r="23" ht="15.0" customHeight="1">
      <c r="A23" s="17" t="s">
        <v>28</v>
      </c>
      <c r="B23" s="17" t="s">
        <v>29</v>
      </c>
      <c r="C23" s="20">
        <f t="shared" si="1"/>
        <v>89</v>
      </c>
      <c r="D23" s="21">
        <f t="shared" si="2"/>
        <v>3</v>
      </c>
      <c r="E23" s="20">
        <f>ROUND(AVERAGE('Feature Matrix'!$F23:$S23)/3*100,1)</f>
        <v>100</v>
      </c>
      <c r="F23" s="20">
        <f>ROUND(AVERAGE('Feature Matrix'!$T23:$AI23)/3*100,1)</f>
        <v>97.9</v>
      </c>
      <c r="G23" s="20">
        <f>ROUND(AVERAGE('Feature Matrix'!$AJ23:$AW23)/3*100,1)</f>
        <v>97.6</v>
      </c>
      <c r="H23" s="20">
        <f>ROUND(AVERAGE('Feature Matrix'!$AX23:$BL23)/3*100,1)</f>
        <v>100</v>
      </c>
      <c r="I23" s="20">
        <f>ROUND(AVERAGE('Feature Matrix'!$BM23:$BZ23)/3*100,1)</f>
        <v>66.7</v>
      </c>
      <c r="J23" s="20">
        <f>ROUND(AVERAGE('Feature Matrix'!$CA23:$CN23)/3*100,1)</f>
        <v>100</v>
      </c>
      <c r="K23" s="20">
        <f>ROUND(AVERAGE('Feature Matrix'!$CO23:$DD23)/3*100,1)</f>
        <v>93.8</v>
      </c>
      <c r="L23" s="20">
        <f>ROUND(AVERAGE('Feature Matrix'!$DE23:$DQ23)/3*100,1)</f>
        <v>66.7</v>
      </c>
      <c r="M23" s="20">
        <f>ROUND(AVERAGE('Feature Matrix'!$DR23:$EB23)/3*100,1)</f>
        <v>100</v>
      </c>
      <c r="N23" s="20">
        <f>ROUND(AVERAGE('Feature Matrix'!$EC23:$EO23)/3*100,1)</f>
        <v>61.5</v>
      </c>
    </row>
    <row r="24" ht="15.0" customHeight="1">
      <c r="A24" s="17" t="s">
        <v>227</v>
      </c>
      <c r="B24" s="17" t="s">
        <v>228</v>
      </c>
      <c r="C24" s="20">
        <f t="shared" si="1"/>
        <v>78.4</v>
      </c>
      <c r="D24" s="21">
        <f t="shared" si="2"/>
        <v>16</v>
      </c>
      <c r="E24" s="20">
        <f>ROUND(AVERAGE('Feature Matrix'!$F24:$S24)/3*100,1)</f>
        <v>78.6</v>
      </c>
      <c r="F24" s="20">
        <f>ROUND(AVERAGE('Feature Matrix'!$T24:$AI24)/3*100,1)</f>
        <v>97.9</v>
      </c>
      <c r="G24" s="20">
        <f>ROUND(AVERAGE('Feature Matrix'!$AJ24:$AW24)/3*100,1)</f>
        <v>64.3</v>
      </c>
      <c r="H24" s="20">
        <f>ROUND(AVERAGE('Feature Matrix'!$AX24:$BL24)/3*100,1)</f>
        <v>100</v>
      </c>
      <c r="I24" s="20">
        <f>ROUND(AVERAGE('Feature Matrix'!$BM24:$BZ24)/3*100,1)</f>
        <v>66.7</v>
      </c>
      <c r="J24" s="20">
        <f>ROUND(AVERAGE('Feature Matrix'!$CA24:$CN24)/3*100,1)</f>
        <v>100</v>
      </c>
      <c r="K24" s="20">
        <f>ROUND(AVERAGE('Feature Matrix'!$CO24:$DD24)/3*100,1)</f>
        <v>93.8</v>
      </c>
      <c r="L24" s="20">
        <f>ROUND(AVERAGE('Feature Matrix'!$DE24:$DQ24)/3*100,1)</f>
        <v>33.3</v>
      </c>
      <c r="M24" s="20">
        <f>ROUND(AVERAGE('Feature Matrix'!$DR24:$EB24)/3*100,1)</f>
        <v>72.7</v>
      </c>
      <c r="N24" s="20">
        <f>ROUND(AVERAGE('Feature Matrix'!$EC24:$EO24)/3*100,1)</f>
        <v>66.7</v>
      </c>
    </row>
    <row r="25" ht="15.0" customHeight="1">
      <c r="A25" s="17" t="s">
        <v>48</v>
      </c>
      <c r="B25" s="17" t="s">
        <v>49</v>
      </c>
      <c r="C25" s="20">
        <f t="shared" si="1"/>
        <v>83.3</v>
      </c>
      <c r="D25" s="21">
        <f t="shared" si="2"/>
        <v>10</v>
      </c>
      <c r="E25" s="20">
        <f>ROUND(AVERAGE('Feature Matrix'!$F25:$S25)/3*100,1)</f>
        <v>100</v>
      </c>
      <c r="F25" s="20">
        <f>ROUND(AVERAGE('Feature Matrix'!$T25:$AI25)/3*100,1)</f>
        <v>95.8</v>
      </c>
      <c r="G25" s="20">
        <f>ROUND(AVERAGE('Feature Matrix'!$AJ25:$AW25)/3*100,1)</f>
        <v>100</v>
      </c>
      <c r="H25" s="20">
        <f>ROUND(AVERAGE('Feature Matrix'!$AX25:$BL25)/3*100,1)</f>
        <v>100</v>
      </c>
      <c r="I25" s="20">
        <f>ROUND(AVERAGE('Feature Matrix'!$BM25:$BZ25)/3*100,1)</f>
        <v>66.7</v>
      </c>
      <c r="J25" s="20">
        <f>ROUND(AVERAGE('Feature Matrix'!$CA25:$CN25)/3*100,1)</f>
        <v>100</v>
      </c>
      <c r="K25" s="20">
        <f>ROUND(AVERAGE('Feature Matrix'!$CO25:$DD25)/3*100,1)</f>
        <v>93.8</v>
      </c>
      <c r="L25" s="20">
        <f>ROUND(AVERAGE('Feature Matrix'!$DE25:$DQ25)/3*100,1)</f>
        <v>66.7</v>
      </c>
      <c r="M25" s="20">
        <f>ROUND(AVERAGE('Feature Matrix'!$DR25:$EB25)/3*100,1)</f>
        <v>72.7</v>
      </c>
      <c r="N25" s="20">
        <f>ROUND(AVERAGE('Feature Matrix'!$EC25:$EO25)/3*100,1)</f>
        <v>28.2</v>
      </c>
    </row>
    <row r="26" ht="15.0" customHeight="1">
      <c r="A26" s="17" t="s">
        <v>45</v>
      </c>
      <c r="B26" s="17" t="s">
        <v>46</v>
      </c>
      <c r="C26" s="20">
        <f t="shared" si="1"/>
        <v>83.5</v>
      </c>
      <c r="D26" s="21">
        <f t="shared" si="2"/>
        <v>9</v>
      </c>
      <c r="E26" s="20">
        <f>ROUND(AVERAGE('Feature Matrix'!$F26:$S26)/3*100,1)</f>
        <v>100</v>
      </c>
      <c r="F26" s="20">
        <f>ROUND(AVERAGE('Feature Matrix'!$T26:$AI26)/3*100,1)</f>
        <v>97.9</v>
      </c>
      <c r="G26" s="20">
        <f>ROUND(AVERAGE('Feature Matrix'!$AJ26:$AW26)/3*100,1)</f>
        <v>100</v>
      </c>
      <c r="H26" s="20">
        <f>ROUND(AVERAGE('Feature Matrix'!$AX26:$BL26)/3*100,1)</f>
        <v>100</v>
      </c>
      <c r="I26" s="20">
        <f>ROUND(AVERAGE('Feature Matrix'!$BM26:$BZ26)/3*100,1)</f>
        <v>66.7</v>
      </c>
      <c r="J26" s="20">
        <f>ROUND(AVERAGE('Feature Matrix'!$CA26:$CN26)/3*100,1)</f>
        <v>100</v>
      </c>
      <c r="K26" s="20">
        <f>ROUND(AVERAGE('Feature Matrix'!$CO26:$DD26)/3*100,1)</f>
        <v>93.8</v>
      </c>
      <c r="L26" s="20">
        <f>ROUND(AVERAGE('Feature Matrix'!$DE26:$DQ26)/3*100,1)</f>
        <v>66.7</v>
      </c>
      <c r="M26" s="20">
        <f>ROUND(AVERAGE('Feature Matrix'!$DR26:$EB26)/3*100,1)</f>
        <v>72.7</v>
      </c>
      <c r="N26" s="20">
        <f>ROUND(AVERAGE('Feature Matrix'!$EC26:$EO26)/3*100,1)</f>
        <v>28.2</v>
      </c>
    </row>
    <row r="27" ht="15.0" customHeight="1">
      <c r="A27" s="17" t="s">
        <v>229</v>
      </c>
      <c r="B27" s="17" t="s">
        <v>230</v>
      </c>
      <c r="C27" s="20">
        <f t="shared" si="1"/>
        <v>78.6</v>
      </c>
      <c r="D27" s="21">
        <f t="shared" si="2"/>
        <v>15</v>
      </c>
      <c r="E27" s="20">
        <f>ROUND(AVERAGE('Feature Matrix'!$F27:$S27)/3*100,1)</f>
        <v>100</v>
      </c>
      <c r="F27" s="20">
        <f>ROUND(AVERAGE('Feature Matrix'!$T27:$AI27)/3*100,1)</f>
        <v>58.3</v>
      </c>
      <c r="G27" s="20">
        <f>ROUND(AVERAGE('Feature Matrix'!$AJ27:$AW27)/3*100,1)</f>
        <v>97.6</v>
      </c>
      <c r="H27" s="20">
        <f>ROUND(AVERAGE('Feature Matrix'!$AX27:$BL27)/3*100,1)</f>
        <v>100</v>
      </c>
      <c r="I27" s="20">
        <f>ROUND(AVERAGE('Feature Matrix'!$BM27:$BZ27)/3*100,1)</f>
        <v>69</v>
      </c>
      <c r="J27" s="20">
        <f>ROUND(AVERAGE('Feature Matrix'!$CA27:$CN27)/3*100,1)</f>
        <v>100</v>
      </c>
      <c r="K27" s="20">
        <f>ROUND(AVERAGE('Feature Matrix'!$CO27:$DD27)/3*100,1)</f>
        <v>62.5</v>
      </c>
      <c r="L27" s="20">
        <f>ROUND(AVERAGE('Feature Matrix'!$DE27:$DQ27)/3*100,1)</f>
        <v>97.4</v>
      </c>
      <c r="M27" s="20">
        <f>ROUND(AVERAGE('Feature Matrix'!$DR27:$EB27)/3*100,1)</f>
        <v>72.7</v>
      </c>
      <c r="N27" s="20">
        <f>ROUND(AVERAGE('Feature Matrix'!$EC27:$EO27)/3*100,1)</f>
        <v>28.2</v>
      </c>
    </row>
    <row r="28" ht="15.0" customHeight="1">
      <c r="A28" s="17" t="s">
        <v>232</v>
      </c>
      <c r="B28" s="17" t="s">
        <v>233</v>
      </c>
      <c r="C28" s="20">
        <f t="shared" si="1"/>
        <v>70.7</v>
      </c>
      <c r="D28" s="21">
        <f t="shared" si="2"/>
        <v>21</v>
      </c>
      <c r="E28" s="20">
        <f>ROUND(AVERAGE('Feature Matrix'!$F28:$S28)/3*100,1)</f>
        <v>100</v>
      </c>
      <c r="F28" s="20">
        <f>ROUND(AVERAGE('Feature Matrix'!$T28:$AI28)/3*100,1)</f>
        <v>56.3</v>
      </c>
      <c r="G28" s="20">
        <f>ROUND(AVERAGE('Feature Matrix'!$AJ28:$AW28)/3*100,1)</f>
        <v>97.6</v>
      </c>
      <c r="H28" s="20">
        <f>ROUND(AVERAGE('Feature Matrix'!$AX28:$BL28)/3*100,1)</f>
        <v>66.7</v>
      </c>
      <c r="I28" s="20">
        <f>ROUND(AVERAGE('Feature Matrix'!$BM28:$BZ28)/3*100,1)</f>
        <v>61.9</v>
      </c>
      <c r="J28" s="20">
        <f>ROUND(AVERAGE('Feature Matrix'!$CA28:$CN28)/3*100,1)</f>
        <v>66.7</v>
      </c>
      <c r="K28" s="20">
        <f>ROUND(AVERAGE('Feature Matrix'!$CO28:$DD28)/3*100,1)</f>
        <v>60.4</v>
      </c>
      <c r="L28" s="20">
        <f>ROUND(AVERAGE('Feature Matrix'!$DE28:$DQ28)/3*100,1)</f>
        <v>97.4</v>
      </c>
      <c r="M28" s="20">
        <f>ROUND(AVERAGE('Feature Matrix'!$DR28:$EB28)/3*100,1)</f>
        <v>72.7</v>
      </c>
      <c r="N28" s="20">
        <f>ROUND(AVERAGE('Feature Matrix'!$EC28:$EO28)/3*100,1)</f>
        <v>28.2</v>
      </c>
    </row>
    <row r="29" ht="15.0" customHeight="1">
      <c r="A29" s="17" t="s">
        <v>234</v>
      </c>
      <c r="B29" s="17" t="s">
        <v>235</v>
      </c>
      <c r="C29" s="20">
        <f t="shared" si="1"/>
        <v>72.3</v>
      </c>
      <c r="D29" s="21">
        <f t="shared" si="2"/>
        <v>20</v>
      </c>
      <c r="E29" s="20">
        <f>ROUND(AVERAGE('Feature Matrix'!$F29:$S29)/3*100,1)</f>
        <v>78.6</v>
      </c>
      <c r="F29" s="20">
        <f>ROUND(AVERAGE('Feature Matrix'!$T29:$AI29)/3*100,1)</f>
        <v>58.3</v>
      </c>
      <c r="G29" s="20">
        <f>ROUND(AVERAGE('Feature Matrix'!$AJ29:$AW29)/3*100,1)</f>
        <v>97.6</v>
      </c>
      <c r="H29" s="20">
        <f>ROUND(AVERAGE('Feature Matrix'!$AX29:$BL29)/3*100,1)</f>
        <v>66.7</v>
      </c>
      <c r="I29" s="20">
        <f>ROUND(AVERAGE('Feature Matrix'!$BM29:$BZ29)/3*100,1)</f>
        <v>66.7</v>
      </c>
      <c r="J29" s="20">
        <f>ROUND(AVERAGE('Feature Matrix'!$CA29:$CN29)/3*100,1)</f>
        <v>66.7</v>
      </c>
      <c r="K29" s="20">
        <f>ROUND(AVERAGE('Feature Matrix'!$CO29:$DD29)/3*100,1)</f>
        <v>60.4</v>
      </c>
      <c r="L29" s="20">
        <f>ROUND(AVERAGE('Feature Matrix'!$DE29:$DQ29)/3*100,1)</f>
        <v>97.4</v>
      </c>
      <c r="M29" s="20">
        <f>ROUND(AVERAGE('Feature Matrix'!$DR29:$EB29)/3*100,1)</f>
        <v>72.7</v>
      </c>
      <c r="N29" s="20">
        <f>ROUND(AVERAGE('Feature Matrix'!$EC29:$EO29)/3*100,1)</f>
        <v>61.5</v>
      </c>
    </row>
    <row r="30" ht="15.0" customHeight="1">
      <c r="A30" s="17" t="s">
        <v>237</v>
      </c>
      <c r="B30" s="17" t="s">
        <v>238</v>
      </c>
      <c r="C30" s="20">
        <f t="shared" si="1"/>
        <v>75.4</v>
      </c>
      <c r="D30" s="21">
        <f t="shared" si="2"/>
        <v>18</v>
      </c>
      <c r="E30" s="20">
        <f>ROUND(AVERAGE('Feature Matrix'!$F30:$S30)/3*100,1)</f>
        <v>100</v>
      </c>
      <c r="F30" s="20">
        <f>ROUND(AVERAGE('Feature Matrix'!$T30:$AI30)/3*100,1)</f>
        <v>60.4</v>
      </c>
      <c r="G30" s="20">
        <f>ROUND(AVERAGE('Feature Matrix'!$AJ30:$AW30)/3*100,1)</f>
        <v>97.6</v>
      </c>
      <c r="H30" s="20">
        <f>ROUND(AVERAGE('Feature Matrix'!$AX30:$BL30)/3*100,1)</f>
        <v>66.7</v>
      </c>
      <c r="I30" s="20">
        <f>ROUND(AVERAGE('Feature Matrix'!$BM30:$BZ30)/3*100,1)</f>
        <v>66.7</v>
      </c>
      <c r="J30" s="20">
        <f>ROUND(AVERAGE('Feature Matrix'!$CA30:$CN30)/3*100,1)</f>
        <v>66.7</v>
      </c>
      <c r="K30" s="20">
        <f>ROUND(AVERAGE('Feature Matrix'!$CO30:$DD30)/3*100,1)</f>
        <v>62.5</v>
      </c>
      <c r="L30" s="20">
        <f>ROUND(AVERAGE('Feature Matrix'!$DE30:$DQ30)/3*100,1)</f>
        <v>64.1</v>
      </c>
      <c r="M30" s="20">
        <f>ROUND(AVERAGE('Feature Matrix'!$DR30:$EB30)/3*100,1)</f>
        <v>72.7</v>
      </c>
      <c r="N30" s="20">
        <f>ROUND(AVERAGE('Feature Matrix'!$EC30:$EO30)/3*100,1)</f>
        <v>94.9</v>
      </c>
    </row>
    <row r="31" ht="15.0" customHeight="1">
      <c r="A31" s="17" t="s">
        <v>239</v>
      </c>
      <c r="B31" s="17" t="s">
        <v>240</v>
      </c>
      <c r="C31" s="20">
        <f t="shared" si="1"/>
        <v>57.4</v>
      </c>
      <c r="D31" s="21">
        <f t="shared" si="2"/>
        <v>28</v>
      </c>
      <c r="E31" s="20">
        <f>ROUND(AVERAGE('Feature Matrix'!$F31:$S31)/3*100,1)</f>
        <v>100</v>
      </c>
      <c r="F31" s="20">
        <f>ROUND(AVERAGE('Feature Matrix'!$T31:$AI31)/3*100,1)</f>
        <v>62.5</v>
      </c>
      <c r="G31" s="20">
        <f>ROUND(AVERAGE('Feature Matrix'!$AJ31:$AW31)/3*100,1)</f>
        <v>31</v>
      </c>
      <c r="H31" s="20">
        <f>ROUND(AVERAGE('Feature Matrix'!$AX31:$BL31)/3*100,1)</f>
        <v>66.7</v>
      </c>
      <c r="I31" s="20">
        <f>ROUND(AVERAGE('Feature Matrix'!$BM31:$BZ31)/3*100,1)</f>
        <v>71.4</v>
      </c>
      <c r="J31" s="20">
        <f>ROUND(AVERAGE('Feature Matrix'!$CA31:$CN31)/3*100,1)</f>
        <v>66.7</v>
      </c>
      <c r="K31" s="20">
        <f>ROUND(AVERAGE('Feature Matrix'!$CO31:$DD31)/3*100,1)</f>
        <v>62.5</v>
      </c>
      <c r="L31" s="20">
        <f>ROUND(AVERAGE('Feature Matrix'!$DE31:$DQ31)/3*100,1)</f>
        <v>69.2</v>
      </c>
      <c r="M31" s="20">
        <f>ROUND(AVERAGE('Feature Matrix'!$DR31:$EB31)/3*100,1)</f>
        <v>39.4</v>
      </c>
      <c r="N31" s="20">
        <f>ROUND(AVERAGE('Feature Matrix'!$EC31:$EO31)/3*100,1)</f>
        <v>0</v>
      </c>
    </row>
    <row r="32" ht="15.0" customHeight="1">
      <c r="A32" s="17" t="s">
        <v>242</v>
      </c>
      <c r="B32" s="17" t="s">
        <v>243</v>
      </c>
      <c r="C32" s="20">
        <f t="shared" si="1"/>
        <v>76.6</v>
      </c>
      <c r="D32" s="21">
        <f t="shared" si="2"/>
        <v>17</v>
      </c>
      <c r="E32" s="20">
        <f>ROUND(AVERAGE('Feature Matrix'!$F32:$S32)/3*100,1)</f>
        <v>100</v>
      </c>
      <c r="F32" s="20">
        <f>ROUND(AVERAGE('Feature Matrix'!$T32:$AI32)/3*100,1)</f>
        <v>95.8</v>
      </c>
      <c r="G32" s="20">
        <f>ROUND(AVERAGE('Feature Matrix'!$AJ32:$AW32)/3*100,1)</f>
        <v>97.6</v>
      </c>
      <c r="H32" s="20">
        <f>ROUND(AVERAGE('Feature Matrix'!$AX32:$BL32)/3*100,1)</f>
        <v>66.7</v>
      </c>
      <c r="I32" s="20">
        <f>ROUND(AVERAGE('Feature Matrix'!$BM32:$BZ32)/3*100,1)</f>
        <v>100</v>
      </c>
      <c r="J32" s="20">
        <f>ROUND(AVERAGE('Feature Matrix'!$CA32:$CN32)/3*100,1)</f>
        <v>69</v>
      </c>
      <c r="K32" s="20">
        <f>ROUND(AVERAGE('Feature Matrix'!$CO32:$DD32)/3*100,1)</f>
        <v>93.8</v>
      </c>
      <c r="L32" s="20">
        <f>ROUND(AVERAGE('Feature Matrix'!$DE32:$DQ32)/3*100,1)</f>
        <v>66.7</v>
      </c>
      <c r="M32" s="20">
        <f>ROUND(AVERAGE('Feature Matrix'!$DR32:$EB32)/3*100,1)</f>
        <v>72.7</v>
      </c>
      <c r="N32" s="20">
        <f>ROUND(AVERAGE('Feature Matrix'!$EC32:$EO32)/3*100,1)</f>
        <v>0</v>
      </c>
    </row>
    <row r="33" ht="15.0" customHeight="1">
      <c r="A33" s="17" t="s">
        <v>244</v>
      </c>
      <c r="B33" s="17" t="s">
        <v>245</v>
      </c>
      <c r="C33" s="20">
        <f t="shared" si="1"/>
        <v>50.5</v>
      </c>
      <c r="D33" s="21">
        <f t="shared" si="2"/>
        <v>33</v>
      </c>
      <c r="E33" s="20">
        <f>ROUND(AVERAGE('Feature Matrix'!$F33:$S33)/3*100,1)</f>
        <v>78.6</v>
      </c>
      <c r="F33" s="20">
        <f>ROUND(AVERAGE('Feature Matrix'!$T33:$AI33)/3*100,1)</f>
        <v>58.3</v>
      </c>
      <c r="G33" s="20">
        <f>ROUND(AVERAGE('Feature Matrix'!$AJ33:$AW33)/3*100,1)</f>
        <v>97.6</v>
      </c>
      <c r="H33" s="20">
        <f>ROUND(AVERAGE('Feature Matrix'!$AX33:$BL33)/3*100,1)</f>
        <v>33.3</v>
      </c>
      <c r="I33" s="20">
        <f>ROUND(AVERAGE('Feature Matrix'!$BM33:$BZ33)/3*100,1)</f>
        <v>66.7</v>
      </c>
      <c r="J33" s="20">
        <f>ROUND(AVERAGE('Feature Matrix'!$CA33:$CN33)/3*100,1)</f>
        <v>33.3</v>
      </c>
      <c r="K33" s="20">
        <f>ROUND(AVERAGE('Feature Matrix'!$CO33:$DD33)/3*100,1)</f>
        <v>31.3</v>
      </c>
      <c r="L33" s="20">
        <f>ROUND(AVERAGE('Feature Matrix'!$DE33:$DQ33)/3*100,1)</f>
        <v>66.7</v>
      </c>
      <c r="M33" s="20">
        <f>ROUND(AVERAGE('Feature Matrix'!$DR33:$EB33)/3*100,1)</f>
        <v>39.4</v>
      </c>
      <c r="N33" s="20">
        <f>ROUND(AVERAGE('Feature Matrix'!$EC33:$EO33)/3*100,1)</f>
        <v>0</v>
      </c>
    </row>
    <row r="34" ht="15.0" customHeight="1">
      <c r="A34" s="17" t="s">
        <v>246</v>
      </c>
      <c r="B34" s="17" t="s">
        <v>247</v>
      </c>
      <c r="C34" s="20">
        <f t="shared" si="1"/>
        <v>78.7</v>
      </c>
      <c r="D34" s="21">
        <f t="shared" si="2"/>
        <v>14</v>
      </c>
      <c r="E34" s="20">
        <f>ROUND(AVERAGE('Feature Matrix'!$F34:$S34)/3*100,1)</f>
        <v>100</v>
      </c>
      <c r="F34" s="20">
        <f>ROUND(AVERAGE('Feature Matrix'!$T34:$AI34)/3*100,1)</f>
        <v>97.9</v>
      </c>
      <c r="G34" s="20">
        <f>ROUND(AVERAGE('Feature Matrix'!$AJ34:$AW34)/3*100,1)</f>
        <v>64.3</v>
      </c>
      <c r="H34" s="20">
        <f>ROUND(AVERAGE('Feature Matrix'!$AX34:$BL34)/3*100,1)</f>
        <v>66.7</v>
      </c>
      <c r="I34" s="20">
        <f>ROUND(AVERAGE('Feature Matrix'!$BM34:$BZ34)/3*100,1)</f>
        <v>100</v>
      </c>
      <c r="J34" s="20">
        <f>ROUND(AVERAGE('Feature Matrix'!$CA34:$CN34)/3*100,1)</f>
        <v>100</v>
      </c>
      <c r="K34" s="20">
        <f>ROUND(AVERAGE('Feature Matrix'!$CO34:$DD34)/3*100,1)</f>
        <v>60.4</v>
      </c>
      <c r="L34" s="20">
        <f>ROUND(AVERAGE('Feature Matrix'!$DE34:$DQ34)/3*100,1)</f>
        <v>33.3</v>
      </c>
      <c r="M34" s="20">
        <f>ROUND(AVERAGE('Feature Matrix'!$DR34:$EB34)/3*100,1)</f>
        <v>100</v>
      </c>
      <c r="N34" s="20">
        <f>ROUND(AVERAGE('Feature Matrix'!$EC34:$EO34)/3*100,1)</f>
        <v>61.5</v>
      </c>
    </row>
    <row r="35" ht="15.0" customHeight="1">
      <c r="A35" s="17" t="s">
        <v>248</v>
      </c>
      <c r="B35" s="17" t="s">
        <v>249</v>
      </c>
      <c r="C35" s="20">
        <f t="shared" si="1"/>
        <v>69.7</v>
      </c>
      <c r="D35" s="21">
        <f t="shared" si="2"/>
        <v>23</v>
      </c>
      <c r="E35" s="20">
        <f>ROUND(AVERAGE('Feature Matrix'!$F35:$S35)/3*100,1)</f>
        <v>100</v>
      </c>
      <c r="F35" s="20">
        <f>ROUND(AVERAGE('Feature Matrix'!$T35:$AI35)/3*100,1)</f>
        <v>95.8</v>
      </c>
      <c r="G35" s="20">
        <f>ROUND(AVERAGE('Feature Matrix'!$AJ35:$AW35)/3*100,1)</f>
        <v>64.3</v>
      </c>
      <c r="H35" s="20">
        <f>ROUND(AVERAGE('Feature Matrix'!$AX35:$BL35)/3*100,1)</f>
        <v>66.7</v>
      </c>
      <c r="I35" s="20">
        <f>ROUND(AVERAGE('Feature Matrix'!$BM35:$BZ35)/3*100,1)</f>
        <v>66.7</v>
      </c>
      <c r="J35" s="20">
        <f>ROUND(AVERAGE('Feature Matrix'!$CA35:$CN35)/3*100,1)</f>
        <v>100</v>
      </c>
      <c r="K35" s="20">
        <f>ROUND(AVERAGE('Feature Matrix'!$CO35:$DD35)/3*100,1)</f>
        <v>60.4</v>
      </c>
      <c r="L35" s="20">
        <f>ROUND(AVERAGE('Feature Matrix'!$DE35:$DQ35)/3*100,1)</f>
        <v>33.3</v>
      </c>
      <c r="M35" s="20">
        <f>ROUND(AVERAGE('Feature Matrix'!$DR35:$EB35)/3*100,1)</f>
        <v>72.7</v>
      </c>
      <c r="N35" s="20">
        <f>ROUND(AVERAGE('Feature Matrix'!$EC35:$EO35)/3*100,1)</f>
        <v>28.2</v>
      </c>
    </row>
    <row r="36" ht="15.0" customHeight="1">
      <c r="A36" s="17" t="s">
        <v>250</v>
      </c>
      <c r="B36" s="17" t="s">
        <v>251</v>
      </c>
      <c r="C36" s="20">
        <f t="shared" si="1"/>
        <v>51.6</v>
      </c>
      <c r="D36" s="21">
        <f t="shared" si="2"/>
        <v>30</v>
      </c>
      <c r="E36" s="20">
        <f>ROUND(AVERAGE('Feature Matrix'!$F36:$S36)/3*100,1)</f>
        <v>78.6</v>
      </c>
      <c r="F36" s="20">
        <f>ROUND(AVERAGE('Feature Matrix'!$T36:$AI36)/3*100,1)</f>
        <v>64.6</v>
      </c>
      <c r="G36" s="20">
        <f>ROUND(AVERAGE('Feature Matrix'!$AJ36:$AW36)/3*100,1)</f>
        <v>31</v>
      </c>
      <c r="H36" s="20">
        <f>ROUND(AVERAGE('Feature Matrix'!$AX36:$BL36)/3*100,1)</f>
        <v>66.7</v>
      </c>
      <c r="I36" s="20">
        <f>ROUND(AVERAGE('Feature Matrix'!$BM36:$BZ36)/3*100,1)</f>
        <v>33.3</v>
      </c>
      <c r="J36" s="20">
        <f>ROUND(AVERAGE('Feature Matrix'!$CA36:$CN36)/3*100,1)</f>
        <v>66.7</v>
      </c>
      <c r="K36" s="20">
        <f>ROUND(AVERAGE('Feature Matrix'!$CO36:$DD36)/3*100,1)</f>
        <v>27.1</v>
      </c>
      <c r="L36" s="20">
        <f>ROUND(AVERAGE('Feature Matrix'!$DE36:$DQ36)/3*100,1)</f>
        <v>2.6</v>
      </c>
      <c r="M36" s="20">
        <f>ROUND(AVERAGE('Feature Matrix'!$DR36:$EB36)/3*100,1)</f>
        <v>39.4</v>
      </c>
      <c r="N36" s="20">
        <f>ROUND(AVERAGE('Feature Matrix'!$EC36:$EO36)/3*100,1)</f>
        <v>94.9</v>
      </c>
    </row>
    <row r="37" ht="15.0" customHeight="1">
      <c r="A37" s="17" t="s">
        <v>252</v>
      </c>
      <c r="B37" s="17" t="s">
        <v>253</v>
      </c>
      <c r="C37" s="20">
        <f t="shared" si="1"/>
        <v>70.2</v>
      </c>
      <c r="D37" s="21">
        <f t="shared" si="2"/>
        <v>22</v>
      </c>
      <c r="E37" s="20">
        <f>ROUND(AVERAGE('Feature Matrix'!$F37:$S37)/3*100,1)</f>
        <v>78.6</v>
      </c>
      <c r="F37" s="20">
        <f>ROUND(AVERAGE('Feature Matrix'!$T37:$AI37)/3*100,1)</f>
        <v>62.5</v>
      </c>
      <c r="G37" s="20">
        <f>ROUND(AVERAGE('Feature Matrix'!$AJ37:$AW37)/3*100,1)</f>
        <v>31</v>
      </c>
      <c r="H37" s="20">
        <f>ROUND(AVERAGE('Feature Matrix'!$AX37:$BL37)/3*100,1)</f>
        <v>100</v>
      </c>
      <c r="I37" s="20">
        <f>ROUND(AVERAGE('Feature Matrix'!$BM37:$BZ37)/3*100,1)</f>
        <v>100</v>
      </c>
      <c r="J37" s="20">
        <f>ROUND(AVERAGE('Feature Matrix'!$CA37:$CN37)/3*100,1)</f>
        <v>66.7</v>
      </c>
      <c r="K37" s="20">
        <f>ROUND(AVERAGE('Feature Matrix'!$CO37:$DD37)/3*100,1)</f>
        <v>60.4</v>
      </c>
      <c r="L37" s="20">
        <f>ROUND(AVERAGE('Feature Matrix'!$DE37:$DQ37)/3*100,1)</f>
        <v>30.8</v>
      </c>
      <c r="M37" s="20">
        <f>ROUND(AVERAGE('Feature Matrix'!$DR37:$EB37)/3*100,1)</f>
        <v>72.7</v>
      </c>
      <c r="N37" s="20">
        <f>ROUND(AVERAGE('Feature Matrix'!$EC37:$EO37)/3*100,1)</f>
        <v>97.4</v>
      </c>
    </row>
    <row r="38" ht="15.0" customHeight="1">
      <c r="A38" s="17" t="s">
        <v>36</v>
      </c>
      <c r="B38" s="17" t="s">
        <v>37</v>
      </c>
      <c r="C38" s="20">
        <f t="shared" si="1"/>
        <v>85.4</v>
      </c>
      <c r="D38" s="21">
        <f t="shared" si="2"/>
        <v>6</v>
      </c>
      <c r="E38" s="20">
        <f>ROUND(AVERAGE('Feature Matrix'!$F38:$S38)/3*100,1)</f>
        <v>100</v>
      </c>
      <c r="F38" s="20">
        <f>ROUND(AVERAGE('Feature Matrix'!$T38:$AI38)/3*100,1)</f>
        <v>95.8</v>
      </c>
      <c r="G38" s="20">
        <f>ROUND(AVERAGE('Feature Matrix'!$AJ38:$AW38)/3*100,1)</f>
        <v>64.3</v>
      </c>
      <c r="H38" s="20">
        <f>ROUND(AVERAGE('Feature Matrix'!$AX38:$BL38)/3*100,1)</f>
        <v>100</v>
      </c>
      <c r="I38" s="20">
        <f>ROUND(AVERAGE('Feature Matrix'!$BM38:$BZ38)/3*100,1)</f>
        <v>100</v>
      </c>
      <c r="J38" s="20">
        <f>ROUND(AVERAGE('Feature Matrix'!$CA38:$CN38)/3*100,1)</f>
        <v>100</v>
      </c>
      <c r="K38" s="20">
        <f>ROUND(AVERAGE('Feature Matrix'!$CO38:$DD38)/3*100,1)</f>
        <v>60.4</v>
      </c>
      <c r="L38" s="20">
        <f>ROUND(AVERAGE('Feature Matrix'!$DE38:$DQ38)/3*100,1)</f>
        <v>61.5</v>
      </c>
      <c r="M38" s="20">
        <f>ROUND(AVERAGE('Feature Matrix'!$DR38:$EB38)/3*100,1)</f>
        <v>72.7</v>
      </c>
      <c r="N38" s="20">
        <f>ROUND(AVERAGE('Feature Matrix'!$EC38:$EO38)/3*100,1)</f>
        <v>94.9</v>
      </c>
    </row>
    <row r="39" ht="15.0" customHeight="1">
      <c r="A39" s="17" t="s">
        <v>254</v>
      </c>
      <c r="B39" s="17" t="s">
        <v>255</v>
      </c>
      <c r="C39" s="20">
        <f t="shared" si="1"/>
        <v>56.6</v>
      </c>
      <c r="D39" s="21">
        <f t="shared" si="2"/>
        <v>29</v>
      </c>
      <c r="E39" s="20">
        <f>ROUND(AVERAGE('Feature Matrix'!$F39:$S39)/3*100,1)</f>
        <v>66.7</v>
      </c>
      <c r="F39" s="20">
        <f>ROUND(AVERAGE('Feature Matrix'!$T39:$AI39)/3*100,1)</f>
        <v>62.5</v>
      </c>
      <c r="G39" s="20">
        <f>ROUND(AVERAGE('Feature Matrix'!$AJ39:$AW39)/3*100,1)</f>
        <v>64.3</v>
      </c>
      <c r="H39" s="20">
        <f>ROUND(AVERAGE('Feature Matrix'!$AX39:$BL39)/3*100,1)</f>
        <v>66.7</v>
      </c>
      <c r="I39" s="20">
        <f>ROUND(AVERAGE('Feature Matrix'!$BM39:$BZ39)/3*100,1)</f>
        <v>66.7</v>
      </c>
      <c r="J39" s="20">
        <f>ROUND(AVERAGE('Feature Matrix'!$CA39:$CN39)/3*100,1)</f>
        <v>33.3</v>
      </c>
      <c r="K39" s="20">
        <f>ROUND(AVERAGE('Feature Matrix'!$CO39:$DD39)/3*100,1)</f>
        <v>25</v>
      </c>
      <c r="L39" s="20">
        <f>ROUND(AVERAGE('Feature Matrix'!$DE39:$DQ39)/3*100,1)</f>
        <v>64.1</v>
      </c>
      <c r="M39" s="20">
        <f>ROUND(AVERAGE('Feature Matrix'!$DR39:$EB39)/3*100,1)</f>
        <v>39.4</v>
      </c>
      <c r="N39" s="20">
        <f>ROUND(AVERAGE('Feature Matrix'!$EC39:$EO39)/3*100,1)</f>
        <v>76.9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59C2AB5-5985-41A8-B8C8-3976F2A19829}" filter="1" showAutoFilter="1">
      <autoFilter ref="$A$4:$N$39"/>
    </customSheetView>
  </customSheetViews>
  <mergeCells count="2">
    <mergeCell ref="A1:H1"/>
    <mergeCell ref="A2:N2"/>
  </mergeCells>
  <conditionalFormatting sqref="C5:N39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2" width="28.0"/>
    <col customWidth="1" min="3" max="3" width="32.0"/>
    <col customWidth="1" min="4" max="4" width="10.0"/>
    <col customWidth="1" min="5" max="26" width="8.63"/>
  </cols>
  <sheetData>
    <row r="1" ht="18.0" customHeight="1">
      <c r="A1" s="1" t="s">
        <v>443</v>
      </c>
    </row>
    <row r="3" ht="15.0" customHeight="1">
      <c r="A3" s="22" t="s">
        <v>444</v>
      </c>
      <c r="B3" s="22" t="s">
        <v>445</v>
      </c>
      <c r="C3" s="22" t="s">
        <v>446</v>
      </c>
    </row>
    <row r="4" ht="15.0" customHeight="1">
      <c r="A4" s="3">
        <v>0.0</v>
      </c>
      <c r="B4" s="3" t="s">
        <v>447</v>
      </c>
      <c r="C4" s="3" t="s">
        <v>448</v>
      </c>
    </row>
    <row r="5" ht="15.0" customHeight="1">
      <c r="A5" s="3">
        <v>1.0</v>
      </c>
      <c r="B5" s="3" t="s">
        <v>449</v>
      </c>
      <c r="C5" s="3" t="s">
        <v>450</v>
      </c>
    </row>
    <row r="6" ht="15.0" customHeight="1">
      <c r="A6" s="3">
        <v>2.0</v>
      </c>
      <c r="B6" s="3" t="s">
        <v>451</v>
      </c>
      <c r="C6" s="3" t="s">
        <v>452</v>
      </c>
    </row>
    <row r="7" ht="15.0" customHeight="1">
      <c r="A7" s="3">
        <v>3.0</v>
      </c>
      <c r="B7" s="3" t="s">
        <v>453</v>
      </c>
      <c r="C7" s="3" t="s">
        <v>454</v>
      </c>
    </row>
    <row r="10" ht="15.0" customHeight="1">
      <c r="A10" s="16" t="s">
        <v>455</v>
      </c>
      <c r="B10" s="16" t="s">
        <v>14</v>
      </c>
      <c r="C10" s="16" t="s">
        <v>456</v>
      </c>
      <c r="D10" s="16" t="s">
        <v>457</v>
      </c>
    </row>
    <row r="11" ht="15.0" customHeight="1">
      <c r="A11" s="17" t="s">
        <v>458</v>
      </c>
      <c r="B11" s="17" t="s">
        <v>22</v>
      </c>
      <c r="C11" s="17" t="s">
        <v>56</v>
      </c>
      <c r="D11" s="17">
        <v>1.1</v>
      </c>
    </row>
    <row r="12" ht="15.0" customHeight="1">
      <c r="A12" s="17" t="s">
        <v>459</v>
      </c>
      <c r="B12" s="17" t="s">
        <v>22</v>
      </c>
      <c r="C12" s="17" t="s">
        <v>57</v>
      </c>
      <c r="D12" s="17">
        <v>1.1</v>
      </c>
    </row>
    <row r="13" ht="15.0" customHeight="1">
      <c r="A13" s="17" t="s">
        <v>460</v>
      </c>
      <c r="B13" s="17" t="s">
        <v>22</v>
      </c>
      <c r="C13" s="17" t="s">
        <v>58</v>
      </c>
      <c r="D13" s="17">
        <v>1.1</v>
      </c>
    </row>
    <row r="14" ht="15.0" customHeight="1">
      <c r="A14" s="17" t="s">
        <v>461</v>
      </c>
      <c r="B14" s="17" t="s">
        <v>22</v>
      </c>
      <c r="C14" s="17" t="s">
        <v>59</v>
      </c>
      <c r="D14" s="17">
        <v>1.1</v>
      </c>
    </row>
    <row r="15" ht="15.0" customHeight="1">
      <c r="A15" s="17" t="s">
        <v>462</v>
      </c>
      <c r="B15" s="17" t="s">
        <v>22</v>
      </c>
      <c r="C15" s="17" t="s">
        <v>60</v>
      </c>
      <c r="D15" s="17">
        <v>1.1</v>
      </c>
    </row>
    <row r="16" ht="15.0" customHeight="1">
      <c r="A16" s="17" t="s">
        <v>463</v>
      </c>
      <c r="B16" s="17" t="s">
        <v>22</v>
      </c>
      <c r="C16" s="17" t="s">
        <v>61</v>
      </c>
      <c r="D16" s="17">
        <v>1.1</v>
      </c>
    </row>
    <row r="17" ht="15.0" customHeight="1">
      <c r="A17" s="17" t="s">
        <v>464</v>
      </c>
      <c r="B17" s="17" t="s">
        <v>22</v>
      </c>
      <c r="C17" s="17" t="s">
        <v>62</v>
      </c>
      <c r="D17" s="17">
        <v>1.1</v>
      </c>
    </row>
    <row r="18" ht="15.0" customHeight="1">
      <c r="A18" s="17" t="s">
        <v>465</v>
      </c>
      <c r="B18" s="17" t="s">
        <v>22</v>
      </c>
      <c r="C18" s="17" t="s">
        <v>63</v>
      </c>
      <c r="D18" s="17">
        <v>1.1</v>
      </c>
    </row>
    <row r="19" ht="15.0" customHeight="1">
      <c r="A19" s="17" t="s">
        <v>466</v>
      </c>
      <c r="B19" s="17" t="s">
        <v>22</v>
      </c>
      <c r="C19" s="17" t="s">
        <v>64</v>
      </c>
      <c r="D19" s="17">
        <v>1.1</v>
      </c>
    </row>
    <row r="20" ht="15.0" customHeight="1">
      <c r="A20" s="17" t="s">
        <v>467</v>
      </c>
      <c r="B20" s="17" t="s">
        <v>22</v>
      </c>
      <c r="C20" s="17" t="s">
        <v>65</v>
      </c>
      <c r="D20" s="17">
        <v>1.1</v>
      </c>
    </row>
    <row r="21" ht="15.0" customHeight="1">
      <c r="A21" s="17" t="s">
        <v>468</v>
      </c>
      <c r="B21" s="17" t="s">
        <v>22</v>
      </c>
      <c r="C21" s="17" t="s">
        <v>66</v>
      </c>
      <c r="D21" s="17">
        <v>1.1</v>
      </c>
    </row>
    <row r="22" ht="15.0" customHeight="1">
      <c r="A22" s="17" t="s">
        <v>469</v>
      </c>
      <c r="B22" s="17" t="s">
        <v>22</v>
      </c>
      <c r="C22" s="17" t="s">
        <v>67</v>
      </c>
      <c r="D22" s="17">
        <v>1.1</v>
      </c>
    </row>
    <row r="23" ht="15.0" customHeight="1">
      <c r="A23" s="17" t="s">
        <v>470</v>
      </c>
      <c r="B23" s="17" t="s">
        <v>22</v>
      </c>
      <c r="C23" s="17" t="s">
        <v>68</v>
      </c>
      <c r="D23" s="17">
        <v>1.1</v>
      </c>
    </row>
    <row r="24" ht="15.0" customHeight="1">
      <c r="A24" s="17" t="s">
        <v>471</v>
      </c>
      <c r="B24" s="17" t="s">
        <v>22</v>
      </c>
      <c r="C24" s="17" t="s">
        <v>69</v>
      </c>
      <c r="D24" s="17">
        <v>1.1</v>
      </c>
    </row>
    <row r="25" ht="15.0" customHeight="1">
      <c r="A25" s="17" t="s">
        <v>472</v>
      </c>
      <c r="B25" s="17" t="s">
        <v>26</v>
      </c>
      <c r="C25" s="17" t="s">
        <v>70</v>
      </c>
      <c r="D25" s="17">
        <v>1.1</v>
      </c>
    </row>
    <row r="26" ht="15.0" customHeight="1">
      <c r="A26" s="17" t="s">
        <v>473</v>
      </c>
      <c r="B26" s="17" t="s">
        <v>26</v>
      </c>
      <c r="C26" s="17" t="s">
        <v>71</v>
      </c>
      <c r="D26" s="17">
        <v>1.1</v>
      </c>
    </row>
    <row r="27" ht="15.0" customHeight="1">
      <c r="A27" s="17" t="s">
        <v>474</v>
      </c>
      <c r="B27" s="17" t="s">
        <v>26</v>
      </c>
      <c r="C27" s="17" t="s">
        <v>72</v>
      </c>
      <c r="D27" s="17">
        <v>1.1</v>
      </c>
    </row>
    <row r="28" ht="15.0" customHeight="1">
      <c r="A28" s="17" t="s">
        <v>475</v>
      </c>
      <c r="B28" s="17" t="s">
        <v>26</v>
      </c>
      <c r="C28" s="17" t="s">
        <v>73</v>
      </c>
      <c r="D28" s="17">
        <v>1.1</v>
      </c>
    </row>
    <row r="29" ht="15.0" customHeight="1">
      <c r="A29" s="17" t="s">
        <v>476</v>
      </c>
      <c r="B29" s="17" t="s">
        <v>26</v>
      </c>
      <c r="C29" s="17" t="s">
        <v>74</v>
      </c>
      <c r="D29" s="17">
        <v>1.1</v>
      </c>
    </row>
    <row r="30" ht="15.0" customHeight="1">
      <c r="A30" s="17" t="s">
        <v>477</v>
      </c>
      <c r="B30" s="17" t="s">
        <v>26</v>
      </c>
      <c r="C30" s="17" t="s">
        <v>75</v>
      </c>
      <c r="D30" s="17">
        <v>1.1</v>
      </c>
    </row>
    <row r="31" ht="15.0" customHeight="1">
      <c r="A31" s="17" t="s">
        <v>478</v>
      </c>
      <c r="B31" s="17" t="s">
        <v>26</v>
      </c>
      <c r="C31" s="17" t="s">
        <v>76</v>
      </c>
      <c r="D31" s="17">
        <v>1.1</v>
      </c>
    </row>
    <row r="32" ht="15.0" customHeight="1">
      <c r="A32" s="17" t="s">
        <v>479</v>
      </c>
      <c r="B32" s="17" t="s">
        <v>26</v>
      </c>
      <c r="C32" s="17" t="s">
        <v>77</v>
      </c>
      <c r="D32" s="17">
        <v>1.1</v>
      </c>
    </row>
    <row r="33" ht="15.0" customHeight="1">
      <c r="A33" s="17" t="s">
        <v>480</v>
      </c>
      <c r="B33" s="17" t="s">
        <v>26</v>
      </c>
      <c r="C33" s="17" t="s">
        <v>78</v>
      </c>
      <c r="D33" s="17">
        <v>1.1</v>
      </c>
    </row>
    <row r="34" ht="15.0" customHeight="1">
      <c r="A34" s="17" t="s">
        <v>481</v>
      </c>
      <c r="B34" s="17" t="s">
        <v>26</v>
      </c>
      <c r="C34" s="17" t="s">
        <v>79</v>
      </c>
      <c r="D34" s="17">
        <v>1.1</v>
      </c>
    </row>
    <row r="35" ht="15.0" customHeight="1">
      <c r="A35" s="17" t="s">
        <v>482</v>
      </c>
      <c r="B35" s="17" t="s">
        <v>26</v>
      </c>
      <c r="C35" s="17" t="s">
        <v>80</v>
      </c>
      <c r="D35" s="17">
        <v>1.1</v>
      </c>
    </row>
    <row r="36" ht="15.0" customHeight="1">
      <c r="A36" s="17" t="s">
        <v>483</v>
      </c>
      <c r="B36" s="17" t="s">
        <v>26</v>
      </c>
      <c r="C36" s="17" t="s">
        <v>81</v>
      </c>
      <c r="D36" s="17">
        <v>1.1</v>
      </c>
    </row>
    <row r="37" ht="15.0" customHeight="1">
      <c r="A37" s="17" t="s">
        <v>484</v>
      </c>
      <c r="B37" s="17" t="s">
        <v>26</v>
      </c>
      <c r="C37" s="17" t="s">
        <v>82</v>
      </c>
      <c r="D37" s="17">
        <v>1.1</v>
      </c>
    </row>
    <row r="38" ht="15.0" customHeight="1">
      <c r="A38" s="17" t="s">
        <v>485</v>
      </c>
      <c r="B38" s="17" t="s">
        <v>26</v>
      </c>
      <c r="C38" s="17" t="s">
        <v>83</v>
      </c>
      <c r="D38" s="17">
        <v>1.1</v>
      </c>
    </row>
    <row r="39" ht="15.0" customHeight="1">
      <c r="A39" s="17" t="s">
        <v>486</v>
      </c>
      <c r="B39" s="17" t="s">
        <v>26</v>
      </c>
      <c r="C39" s="17" t="s">
        <v>84</v>
      </c>
      <c r="D39" s="17">
        <v>1.1</v>
      </c>
    </row>
    <row r="40" ht="15.0" customHeight="1">
      <c r="A40" s="17" t="s">
        <v>487</v>
      </c>
      <c r="B40" s="17" t="s">
        <v>26</v>
      </c>
      <c r="C40" s="17" t="s">
        <v>85</v>
      </c>
      <c r="D40" s="17">
        <v>1.1</v>
      </c>
    </row>
    <row r="41" ht="15.0" customHeight="1">
      <c r="A41" s="17" t="s">
        <v>488</v>
      </c>
      <c r="B41" s="17" t="s">
        <v>30</v>
      </c>
      <c r="C41" s="17" t="s">
        <v>86</v>
      </c>
      <c r="D41" s="17">
        <v>1.0</v>
      </c>
    </row>
    <row r="42" ht="15.0" customHeight="1">
      <c r="A42" s="17" t="s">
        <v>489</v>
      </c>
      <c r="B42" s="17" t="s">
        <v>30</v>
      </c>
      <c r="C42" s="17" t="s">
        <v>87</v>
      </c>
      <c r="D42" s="17">
        <v>1.0</v>
      </c>
    </row>
    <row r="43" ht="15.0" customHeight="1">
      <c r="A43" s="17" t="s">
        <v>490</v>
      </c>
      <c r="B43" s="17" t="s">
        <v>30</v>
      </c>
      <c r="C43" s="17" t="s">
        <v>88</v>
      </c>
      <c r="D43" s="17">
        <v>1.0</v>
      </c>
    </row>
    <row r="44" ht="15.0" customHeight="1">
      <c r="A44" s="17" t="s">
        <v>491</v>
      </c>
      <c r="B44" s="17" t="s">
        <v>30</v>
      </c>
      <c r="C44" s="17" t="s">
        <v>89</v>
      </c>
      <c r="D44" s="17">
        <v>1.0</v>
      </c>
    </row>
    <row r="45" ht="15.0" customHeight="1">
      <c r="A45" s="17" t="s">
        <v>492</v>
      </c>
      <c r="B45" s="17" t="s">
        <v>30</v>
      </c>
      <c r="C45" s="17" t="s">
        <v>90</v>
      </c>
      <c r="D45" s="17">
        <v>1.0</v>
      </c>
    </row>
    <row r="46" ht="15.0" customHeight="1">
      <c r="A46" s="17" t="s">
        <v>493</v>
      </c>
      <c r="B46" s="17" t="s">
        <v>30</v>
      </c>
      <c r="C46" s="17" t="s">
        <v>91</v>
      </c>
      <c r="D46" s="17">
        <v>1.0</v>
      </c>
    </row>
    <row r="47" ht="15.0" customHeight="1">
      <c r="A47" s="17" t="s">
        <v>494</v>
      </c>
      <c r="B47" s="17" t="s">
        <v>30</v>
      </c>
      <c r="C47" s="17" t="s">
        <v>92</v>
      </c>
      <c r="D47" s="17">
        <v>1.0</v>
      </c>
    </row>
    <row r="48" ht="15.0" customHeight="1">
      <c r="A48" s="17" t="s">
        <v>495</v>
      </c>
      <c r="B48" s="17" t="s">
        <v>30</v>
      </c>
      <c r="C48" s="17" t="s">
        <v>93</v>
      </c>
      <c r="D48" s="17">
        <v>1.0</v>
      </c>
    </row>
    <row r="49" ht="15.0" customHeight="1">
      <c r="A49" s="17" t="s">
        <v>496</v>
      </c>
      <c r="B49" s="17" t="s">
        <v>30</v>
      </c>
      <c r="C49" s="17" t="s">
        <v>94</v>
      </c>
      <c r="D49" s="17">
        <v>1.0</v>
      </c>
    </row>
    <row r="50" ht="15.0" customHeight="1">
      <c r="A50" s="17" t="s">
        <v>497</v>
      </c>
      <c r="B50" s="17" t="s">
        <v>30</v>
      </c>
      <c r="C50" s="17" t="s">
        <v>95</v>
      </c>
      <c r="D50" s="17">
        <v>1.0</v>
      </c>
    </row>
    <row r="51" ht="15.0" customHeight="1">
      <c r="A51" s="17" t="s">
        <v>498</v>
      </c>
      <c r="B51" s="17" t="s">
        <v>30</v>
      </c>
      <c r="C51" s="17" t="s">
        <v>96</v>
      </c>
      <c r="D51" s="17">
        <v>1.0</v>
      </c>
    </row>
    <row r="52" ht="15.0" customHeight="1">
      <c r="A52" s="17" t="s">
        <v>499</v>
      </c>
      <c r="B52" s="17" t="s">
        <v>30</v>
      </c>
      <c r="C52" s="17" t="s">
        <v>97</v>
      </c>
      <c r="D52" s="17">
        <v>1.0</v>
      </c>
    </row>
    <row r="53" ht="15.0" customHeight="1">
      <c r="A53" s="17" t="s">
        <v>500</v>
      </c>
      <c r="B53" s="17" t="s">
        <v>30</v>
      </c>
      <c r="C53" s="17" t="s">
        <v>98</v>
      </c>
      <c r="D53" s="17">
        <v>1.0</v>
      </c>
    </row>
    <row r="54" ht="15.0" customHeight="1">
      <c r="A54" s="17" t="s">
        <v>501</v>
      </c>
      <c r="B54" s="17" t="s">
        <v>30</v>
      </c>
      <c r="C54" s="17" t="s">
        <v>99</v>
      </c>
      <c r="D54" s="17">
        <v>1.0</v>
      </c>
    </row>
    <row r="55" ht="15.0" customHeight="1">
      <c r="A55" s="17" t="s">
        <v>502</v>
      </c>
      <c r="B55" s="17" t="s">
        <v>33</v>
      </c>
      <c r="C55" s="17" t="s">
        <v>100</v>
      </c>
      <c r="D55" s="17">
        <v>1.05</v>
      </c>
    </row>
    <row r="56" ht="15.0" customHeight="1">
      <c r="A56" s="17" t="s">
        <v>503</v>
      </c>
      <c r="B56" s="17" t="s">
        <v>33</v>
      </c>
      <c r="C56" s="17" t="s">
        <v>101</v>
      </c>
      <c r="D56" s="17">
        <v>1.05</v>
      </c>
    </row>
    <row r="57" ht="15.0" customHeight="1">
      <c r="A57" s="17" t="s">
        <v>504</v>
      </c>
      <c r="B57" s="17" t="s">
        <v>33</v>
      </c>
      <c r="C57" s="17" t="s">
        <v>102</v>
      </c>
      <c r="D57" s="17">
        <v>1.05</v>
      </c>
    </row>
    <row r="58" ht="15.0" customHeight="1">
      <c r="A58" s="17" t="s">
        <v>505</v>
      </c>
      <c r="B58" s="17" t="s">
        <v>33</v>
      </c>
      <c r="C58" s="17" t="s">
        <v>103</v>
      </c>
      <c r="D58" s="17">
        <v>1.05</v>
      </c>
    </row>
    <row r="59" ht="15.0" customHeight="1">
      <c r="A59" s="17" t="s">
        <v>506</v>
      </c>
      <c r="B59" s="17" t="s">
        <v>33</v>
      </c>
      <c r="C59" s="17" t="s">
        <v>104</v>
      </c>
      <c r="D59" s="17">
        <v>1.05</v>
      </c>
    </row>
    <row r="60" ht="15.0" customHeight="1">
      <c r="A60" s="17" t="s">
        <v>507</v>
      </c>
      <c r="B60" s="17" t="s">
        <v>33</v>
      </c>
      <c r="C60" s="17" t="s">
        <v>105</v>
      </c>
      <c r="D60" s="17">
        <v>1.05</v>
      </c>
    </row>
    <row r="61" ht="15.0" customHeight="1">
      <c r="A61" s="17" t="s">
        <v>508</v>
      </c>
      <c r="B61" s="17" t="s">
        <v>33</v>
      </c>
      <c r="C61" s="17" t="s">
        <v>106</v>
      </c>
      <c r="D61" s="17">
        <v>1.05</v>
      </c>
    </row>
    <row r="62" ht="15.0" customHeight="1">
      <c r="A62" s="17" t="s">
        <v>509</v>
      </c>
      <c r="B62" s="17" t="s">
        <v>33</v>
      </c>
      <c r="C62" s="17" t="s">
        <v>107</v>
      </c>
      <c r="D62" s="17">
        <v>1.05</v>
      </c>
    </row>
    <row r="63" ht="15.0" customHeight="1">
      <c r="A63" s="17" t="s">
        <v>510</v>
      </c>
      <c r="B63" s="17" t="s">
        <v>33</v>
      </c>
      <c r="C63" s="17" t="s">
        <v>108</v>
      </c>
      <c r="D63" s="17">
        <v>1.05</v>
      </c>
    </row>
    <row r="64" ht="15.0" customHeight="1">
      <c r="A64" s="17" t="s">
        <v>511</v>
      </c>
      <c r="B64" s="17" t="s">
        <v>33</v>
      </c>
      <c r="C64" s="17" t="s">
        <v>109</v>
      </c>
      <c r="D64" s="17">
        <v>1.05</v>
      </c>
    </row>
    <row r="65" ht="15.0" customHeight="1">
      <c r="A65" s="17" t="s">
        <v>512</v>
      </c>
      <c r="B65" s="17" t="s">
        <v>33</v>
      </c>
      <c r="C65" s="17" t="s">
        <v>110</v>
      </c>
      <c r="D65" s="17">
        <v>1.05</v>
      </c>
    </row>
    <row r="66" ht="15.0" customHeight="1">
      <c r="A66" s="17" t="s">
        <v>513</v>
      </c>
      <c r="B66" s="17" t="s">
        <v>33</v>
      </c>
      <c r="C66" s="17" t="s">
        <v>111</v>
      </c>
      <c r="D66" s="17">
        <v>1.05</v>
      </c>
    </row>
    <row r="67" ht="15.0" customHeight="1">
      <c r="A67" s="17" t="s">
        <v>514</v>
      </c>
      <c r="B67" s="17" t="s">
        <v>33</v>
      </c>
      <c r="C67" s="17" t="s">
        <v>112</v>
      </c>
      <c r="D67" s="17">
        <v>1.05</v>
      </c>
    </row>
    <row r="68" ht="15.0" customHeight="1">
      <c r="A68" s="17" t="s">
        <v>515</v>
      </c>
      <c r="B68" s="17" t="s">
        <v>33</v>
      </c>
      <c r="C68" s="17" t="s">
        <v>113</v>
      </c>
      <c r="D68" s="17">
        <v>1.05</v>
      </c>
    </row>
    <row r="69" ht="15.0" customHeight="1">
      <c r="A69" s="17" t="s">
        <v>516</v>
      </c>
      <c r="B69" s="17" t="s">
        <v>33</v>
      </c>
      <c r="C69" s="17" t="s">
        <v>114</v>
      </c>
      <c r="D69" s="17">
        <v>1.05</v>
      </c>
    </row>
    <row r="70" ht="15.0" customHeight="1">
      <c r="A70" s="17" t="s">
        <v>517</v>
      </c>
      <c r="B70" s="17" t="s">
        <v>35</v>
      </c>
      <c r="C70" s="17" t="s">
        <v>115</v>
      </c>
      <c r="D70" s="17">
        <v>0.9</v>
      </c>
    </row>
    <row r="71" ht="15.0" customHeight="1">
      <c r="A71" s="17" t="s">
        <v>518</v>
      </c>
      <c r="B71" s="17" t="s">
        <v>35</v>
      </c>
      <c r="C71" s="17" t="s">
        <v>116</v>
      </c>
      <c r="D71" s="17">
        <v>0.9</v>
      </c>
    </row>
    <row r="72" ht="15.0" customHeight="1">
      <c r="A72" s="17" t="s">
        <v>519</v>
      </c>
      <c r="B72" s="17" t="s">
        <v>35</v>
      </c>
      <c r="C72" s="17" t="s">
        <v>117</v>
      </c>
      <c r="D72" s="17">
        <v>0.9</v>
      </c>
    </row>
    <row r="73" ht="15.0" customHeight="1">
      <c r="A73" s="17" t="s">
        <v>520</v>
      </c>
      <c r="B73" s="17" t="s">
        <v>35</v>
      </c>
      <c r="C73" s="17" t="s">
        <v>118</v>
      </c>
      <c r="D73" s="17">
        <v>0.9</v>
      </c>
    </row>
    <row r="74" ht="15.0" customHeight="1">
      <c r="A74" s="17" t="s">
        <v>521</v>
      </c>
      <c r="B74" s="17" t="s">
        <v>35</v>
      </c>
      <c r="C74" s="17" t="s">
        <v>119</v>
      </c>
      <c r="D74" s="17">
        <v>0.9</v>
      </c>
    </row>
    <row r="75" ht="15.0" customHeight="1">
      <c r="A75" s="17" t="s">
        <v>522</v>
      </c>
      <c r="B75" s="17" t="s">
        <v>35</v>
      </c>
      <c r="C75" s="17" t="s">
        <v>120</v>
      </c>
      <c r="D75" s="17">
        <v>0.9</v>
      </c>
    </row>
    <row r="76" ht="15.0" customHeight="1">
      <c r="A76" s="17" t="s">
        <v>523</v>
      </c>
      <c r="B76" s="17" t="s">
        <v>35</v>
      </c>
      <c r="C76" s="17" t="s">
        <v>121</v>
      </c>
      <c r="D76" s="17">
        <v>0.9</v>
      </c>
    </row>
    <row r="77" ht="15.0" customHeight="1">
      <c r="A77" s="17" t="s">
        <v>524</v>
      </c>
      <c r="B77" s="17" t="s">
        <v>35</v>
      </c>
      <c r="C77" s="17" t="s">
        <v>122</v>
      </c>
      <c r="D77" s="17">
        <v>0.9</v>
      </c>
    </row>
    <row r="78" ht="15.0" customHeight="1">
      <c r="A78" s="17" t="s">
        <v>525</v>
      </c>
      <c r="B78" s="17" t="s">
        <v>35</v>
      </c>
      <c r="C78" s="17" t="s">
        <v>123</v>
      </c>
      <c r="D78" s="17">
        <v>0.9</v>
      </c>
    </row>
    <row r="79" ht="15.0" customHeight="1">
      <c r="A79" s="17" t="s">
        <v>526</v>
      </c>
      <c r="B79" s="17" t="s">
        <v>35</v>
      </c>
      <c r="C79" s="17" t="s">
        <v>124</v>
      </c>
      <c r="D79" s="17">
        <v>0.9</v>
      </c>
    </row>
    <row r="80" ht="15.0" customHeight="1">
      <c r="A80" s="17" t="s">
        <v>527</v>
      </c>
      <c r="B80" s="17" t="s">
        <v>35</v>
      </c>
      <c r="C80" s="17" t="s">
        <v>125</v>
      </c>
      <c r="D80" s="17">
        <v>0.9</v>
      </c>
    </row>
    <row r="81" ht="15.0" customHeight="1">
      <c r="A81" s="17" t="s">
        <v>528</v>
      </c>
      <c r="B81" s="17" t="s">
        <v>35</v>
      </c>
      <c r="C81" s="17" t="s">
        <v>126</v>
      </c>
      <c r="D81" s="17">
        <v>0.9</v>
      </c>
    </row>
    <row r="82" ht="15.0" customHeight="1">
      <c r="A82" s="17" t="s">
        <v>529</v>
      </c>
      <c r="B82" s="17" t="s">
        <v>35</v>
      </c>
      <c r="C82" s="17" t="s">
        <v>127</v>
      </c>
      <c r="D82" s="17">
        <v>0.9</v>
      </c>
    </row>
    <row r="83" ht="15.0" customHeight="1">
      <c r="A83" s="17" t="s">
        <v>530</v>
      </c>
      <c r="B83" s="17" t="s">
        <v>35</v>
      </c>
      <c r="C83" s="17" t="s">
        <v>128</v>
      </c>
      <c r="D83" s="17">
        <v>0.9</v>
      </c>
    </row>
    <row r="84" ht="15.0" customHeight="1">
      <c r="A84" s="17" t="s">
        <v>531</v>
      </c>
      <c r="B84" s="17" t="s">
        <v>38</v>
      </c>
      <c r="C84" s="17" t="s">
        <v>129</v>
      </c>
      <c r="D84" s="17">
        <v>1.0</v>
      </c>
    </row>
    <row r="85" ht="15.0" customHeight="1">
      <c r="A85" s="17" t="s">
        <v>532</v>
      </c>
      <c r="B85" s="17" t="s">
        <v>38</v>
      </c>
      <c r="C85" s="17" t="s">
        <v>130</v>
      </c>
      <c r="D85" s="17">
        <v>1.0</v>
      </c>
    </row>
    <row r="86" ht="15.0" customHeight="1">
      <c r="A86" s="17" t="s">
        <v>533</v>
      </c>
      <c r="B86" s="17" t="s">
        <v>38</v>
      </c>
      <c r="C86" s="17" t="s">
        <v>131</v>
      </c>
      <c r="D86" s="17">
        <v>1.0</v>
      </c>
    </row>
    <row r="87" ht="15.0" customHeight="1">
      <c r="A87" s="17" t="s">
        <v>534</v>
      </c>
      <c r="B87" s="17" t="s">
        <v>38</v>
      </c>
      <c r="C87" s="17" t="s">
        <v>132</v>
      </c>
      <c r="D87" s="17">
        <v>1.0</v>
      </c>
    </row>
    <row r="88" ht="15.0" customHeight="1">
      <c r="A88" s="17" t="s">
        <v>535</v>
      </c>
      <c r="B88" s="17" t="s">
        <v>38</v>
      </c>
      <c r="C88" s="17" t="s">
        <v>133</v>
      </c>
      <c r="D88" s="17">
        <v>1.0</v>
      </c>
    </row>
    <row r="89" ht="15.0" customHeight="1">
      <c r="A89" s="17" t="s">
        <v>536</v>
      </c>
      <c r="B89" s="17" t="s">
        <v>38</v>
      </c>
      <c r="C89" s="17" t="s">
        <v>134</v>
      </c>
      <c r="D89" s="17">
        <v>1.0</v>
      </c>
    </row>
    <row r="90" ht="15.0" customHeight="1">
      <c r="A90" s="17" t="s">
        <v>537</v>
      </c>
      <c r="B90" s="17" t="s">
        <v>38</v>
      </c>
      <c r="C90" s="17" t="s">
        <v>135</v>
      </c>
      <c r="D90" s="17">
        <v>1.0</v>
      </c>
    </row>
    <row r="91" ht="15.0" customHeight="1">
      <c r="A91" s="17" t="s">
        <v>538</v>
      </c>
      <c r="B91" s="17" t="s">
        <v>38</v>
      </c>
      <c r="C91" s="17" t="s">
        <v>136</v>
      </c>
      <c r="D91" s="17">
        <v>1.0</v>
      </c>
    </row>
    <row r="92" ht="15.0" customHeight="1">
      <c r="A92" s="17" t="s">
        <v>539</v>
      </c>
      <c r="B92" s="17" t="s">
        <v>38</v>
      </c>
      <c r="C92" s="17" t="s">
        <v>137</v>
      </c>
      <c r="D92" s="17">
        <v>1.0</v>
      </c>
    </row>
    <row r="93" ht="15.0" customHeight="1">
      <c r="A93" s="17" t="s">
        <v>540</v>
      </c>
      <c r="B93" s="17" t="s">
        <v>38</v>
      </c>
      <c r="C93" s="17" t="s">
        <v>138</v>
      </c>
      <c r="D93" s="17">
        <v>1.0</v>
      </c>
    </row>
    <row r="94" ht="15.0" customHeight="1">
      <c r="A94" s="17" t="s">
        <v>541</v>
      </c>
      <c r="B94" s="17" t="s">
        <v>38</v>
      </c>
      <c r="C94" s="17" t="s">
        <v>139</v>
      </c>
      <c r="D94" s="17">
        <v>1.0</v>
      </c>
    </row>
    <row r="95" ht="15.0" customHeight="1">
      <c r="A95" s="17" t="s">
        <v>542</v>
      </c>
      <c r="B95" s="17" t="s">
        <v>38</v>
      </c>
      <c r="C95" s="17" t="s">
        <v>140</v>
      </c>
      <c r="D95" s="17">
        <v>1.0</v>
      </c>
    </row>
    <row r="96" ht="15.0" customHeight="1">
      <c r="A96" s="17" t="s">
        <v>543</v>
      </c>
      <c r="B96" s="17" t="s">
        <v>38</v>
      </c>
      <c r="C96" s="17" t="s">
        <v>141</v>
      </c>
      <c r="D96" s="17">
        <v>1.0</v>
      </c>
    </row>
    <row r="97" ht="15.0" customHeight="1">
      <c r="A97" s="17" t="s">
        <v>544</v>
      </c>
      <c r="B97" s="17" t="s">
        <v>38</v>
      </c>
      <c r="C97" s="17" t="s">
        <v>142</v>
      </c>
      <c r="D97" s="17">
        <v>1.0</v>
      </c>
    </row>
    <row r="98" ht="15.0" customHeight="1">
      <c r="A98" s="17" t="s">
        <v>545</v>
      </c>
      <c r="B98" s="17" t="s">
        <v>40</v>
      </c>
      <c r="C98" s="17" t="s">
        <v>143</v>
      </c>
      <c r="D98" s="17">
        <v>1.05</v>
      </c>
    </row>
    <row r="99" ht="15.0" customHeight="1">
      <c r="A99" s="17" t="s">
        <v>546</v>
      </c>
      <c r="B99" s="17" t="s">
        <v>40</v>
      </c>
      <c r="C99" s="17" t="s">
        <v>144</v>
      </c>
      <c r="D99" s="17">
        <v>1.05</v>
      </c>
    </row>
    <row r="100" ht="15.0" customHeight="1">
      <c r="A100" s="17" t="s">
        <v>547</v>
      </c>
      <c r="B100" s="17" t="s">
        <v>40</v>
      </c>
      <c r="C100" s="17" t="s">
        <v>145</v>
      </c>
      <c r="D100" s="17">
        <v>1.05</v>
      </c>
    </row>
    <row r="101" ht="15.0" customHeight="1">
      <c r="A101" s="17" t="s">
        <v>548</v>
      </c>
      <c r="B101" s="17" t="s">
        <v>40</v>
      </c>
      <c r="C101" s="17" t="s">
        <v>146</v>
      </c>
      <c r="D101" s="17">
        <v>1.05</v>
      </c>
    </row>
    <row r="102" ht="15.0" customHeight="1">
      <c r="A102" s="17" t="s">
        <v>549</v>
      </c>
      <c r="B102" s="17" t="s">
        <v>40</v>
      </c>
      <c r="C102" s="17" t="s">
        <v>147</v>
      </c>
      <c r="D102" s="17">
        <v>1.05</v>
      </c>
    </row>
    <row r="103" ht="15.0" customHeight="1">
      <c r="A103" s="17" t="s">
        <v>550</v>
      </c>
      <c r="B103" s="17" t="s">
        <v>40</v>
      </c>
      <c r="C103" s="17" t="s">
        <v>148</v>
      </c>
      <c r="D103" s="17">
        <v>1.05</v>
      </c>
    </row>
    <row r="104" ht="15.0" customHeight="1">
      <c r="A104" s="17" t="s">
        <v>551</v>
      </c>
      <c r="B104" s="17" t="s">
        <v>40</v>
      </c>
      <c r="C104" s="17" t="s">
        <v>149</v>
      </c>
      <c r="D104" s="17">
        <v>1.05</v>
      </c>
    </row>
    <row r="105" ht="15.0" customHeight="1">
      <c r="A105" s="17" t="s">
        <v>552</v>
      </c>
      <c r="B105" s="17" t="s">
        <v>40</v>
      </c>
      <c r="C105" s="17" t="s">
        <v>150</v>
      </c>
      <c r="D105" s="17">
        <v>1.05</v>
      </c>
    </row>
    <row r="106" ht="15.0" customHeight="1">
      <c r="A106" s="17" t="s">
        <v>553</v>
      </c>
      <c r="B106" s="17" t="s">
        <v>40</v>
      </c>
      <c r="C106" s="17" t="s">
        <v>151</v>
      </c>
      <c r="D106" s="17">
        <v>1.05</v>
      </c>
    </row>
    <row r="107" ht="15.0" customHeight="1">
      <c r="A107" s="17" t="s">
        <v>554</v>
      </c>
      <c r="B107" s="17" t="s">
        <v>40</v>
      </c>
      <c r="C107" s="17" t="s">
        <v>152</v>
      </c>
      <c r="D107" s="17">
        <v>1.05</v>
      </c>
    </row>
    <row r="108" ht="15.0" customHeight="1">
      <c r="A108" s="17" t="s">
        <v>555</v>
      </c>
      <c r="B108" s="17" t="s">
        <v>40</v>
      </c>
      <c r="C108" s="17" t="s">
        <v>153</v>
      </c>
      <c r="D108" s="17">
        <v>1.05</v>
      </c>
    </row>
    <row r="109" ht="15.0" customHeight="1">
      <c r="A109" s="17" t="s">
        <v>556</v>
      </c>
      <c r="B109" s="17" t="s">
        <v>40</v>
      </c>
      <c r="C109" s="17" t="s">
        <v>154</v>
      </c>
      <c r="D109" s="17">
        <v>1.05</v>
      </c>
    </row>
    <row r="110" ht="15.0" customHeight="1">
      <c r="A110" s="17" t="s">
        <v>557</v>
      </c>
      <c r="B110" s="17" t="s">
        <v>40</v>
      </c>
      <c r="C110" s="17" t="s">
        <v>155</v>
      </c>
      <c r="D110" s="17">
        <v>1.05</v>
      </c>
    </row>
    <row r="111" ht="15.0" customHeight="1">
      <c r="A111" s="17" t="s">
        <v>558</v>
      </c>
      <c r="B111" s="17" t="s">
        <v>40</v>
      </c>
      <c r="C111" s="17" t="s">
        <v>156</v>
      </c>
      <c r="D111" s="17">
        <v>1.05</v>
      </c>
    </row>
    <row r="112" ht="15.0" customHeight="1">
      <c r="A112" s="17" t="s">
        <v>559</v>
      </c>
      <c r="B112" s="17" t="s">
        <v>40</v>
      </c>
      <c r="C112" s="17" t="s">
        <v>157</v>
      </c>
      <c r="D112" s="17">
        <v>1.05</v>
      </c>
    </row>
    <row r="113" ht="15.0" customHeight="1">
      <c r="A113" s="17" t="s">
        <v>560</v>
      </c>
      <c r="B113" s="17" t="s">
        <v>40</v>
      </c>
      <c r="C113" s="17" t="s">
        <v>158</v>
      </c>
      <c r="D113" s="17">
        <v>1.05</v>
      </c>
    </row>
    <row r="114" ht="15.0" customHeight="1">
      <c r="A114" s="17" t="s">
        <v>561</v>
      </c>
      <c r="B114" s="17" t="s">
        <v>43</v>
      </c>
      <c r="C114" s="17" t="s">
        <v>159</v>
      </c>
      <c r="D114" s="17">
        <v>0.9</v>
      </c>
    </row>
    <row r="115" ht="15.0" customHeight="1">
      <c r="A115" s="17" t="s">
        <v>562</v>
      </c>
      <c r="B115" s="17" t="s">
        <v>43</v>
      </c>
      <c r="C115" s="17" t="s">
        <v>160</v>
      </c>
      <c r="D115" s="17">
        <v>0.9</v>
      </c>
    </row>
    <row r="116" ht="15.0" customHeight="1">
      <c r="A116" s="17" t="s">
        <v>563</v>
      </c>
      <c r="B116" s="17" t="s">
        <v>43</v>
      </c>
      <c r="C116" s="17" t="s">
        <v>161</v>
      </c>
      <c r="D116" s="17">
        <v>0.9</v>
      </c>
    </row>
    <row r="117" ht="15.0" customHeight="1">
      <c r="A117" s="17" t="s">
        <v>564</v>
      </c>
      <c r="B117" s="17" t="s">
        <v>43</v>
      </c>
      <c r="C117" s="17" t="s">
        <v>162</v>
      </c>
      <c r="D117" s="17">
        <v>0.9</v>
      </c>
    </row>
    <row r="118" ht="15.0" customHeight="1">
      <c r="A118" s="17" t="s">
        <v>565</v>
      </c>
      <c r="B118" s="17" t="s">
        <v>43</v>
      </c>
      <c r="C118" s="17" t="s">
        <v>163</v>
      </c>
      <c r="D118" s="17">
        <v>0.9</v>
      </c>
    </row>
    <row r="119" ht="15.0" customHeight="1">
      <c r="A119" s="17" t="s">
        <v>566</v>
      </c>
      <c r="B119" s="17" t="s">
        <v>43</v>
      </c>
      <c r="C119" s="17" t="s">
        <v>164</v>
      </c>
      <c r="D119" s="17">
        <v>0.9</v>
      </c>
    </row>
    <row r="120" ht="15.0" customHeight="1">
      <c r="A120" s="17" t="s">
        <v>567</v>
      </c>
      <c r="B120" s="17" t="s">
        <v>43</v>
      </c>
      <c r="C120" s="17" t="s">
        <v>165</v>
      </c>
      <c r="D120" s="17">
        <v>0.9</v>
      </c>
    </row>
    <row r="121" ht="15.0" customHeight="1">
      <c r="A121" s="17" t="s">
        <v>568</v>
      </c>
      <c r="B121" s="17" t="s">
        <v>43</v>
      </c>
      <c r="C121" s="17" t="s">
        <v>166</v>
      </c>
      <c r="D121" s="17">
        <v>0.9</v>
      </c>
    </row>
    <row r="122" ht="15.0" customHeight="1">
      <c r="A122" s="17" t="s">
        <v>569</v>
      </c>
      <c r="B122" s="17" t="s">
        <v>43</v>
      </c>
      <c r="C122" s="17" t="s">
        <v>167</v>
      </c>
      <c r="D122" s="17">
        <v>0.9</v>
      </c>
    </row>
    <row r="123" ht="15.0" customHeight="1">
      <c r="A123" s="17" t="s">
        <v>570</v>
      </c>
      <c r="B123" s="17" t="s">
        <v>43</v>
      </c>
      <c r="C123" s="17" t="s">
        <v>168</v>
      </c>
      <c r="D123" s="17">
        <v>0.9</v>
      </c>
    </row>
    <row r="124" ht="15.0" customHeight="1">
      <c r="A124" s="17" t="s">
        <v>571</v>
      </c>
      <c r="B124" s="17" t="s">
        <v>43</v>
      </c>
      <c r="C124" s="17" t="s">
        <v>169</v>
      </c>
      <c r="D124" s="17">
        <v>0.9</v>
      </c>
    </row>
    <row r="125" ht="15.0" customHeight="1">
      <c r="A125" s="17" t="s">
        <v>572</v>
      </c>
      <c r="B125" s="17" t="s">
        <v>43</v>
      </c>
      <c r="C125" s="17" t="s">
        <v>170</v>
      </c>
      <c r="D125" s="17">
        <v>0.9</v>
      </c>
    </row>
    <row r="126" ht="15.0" customHeight="1">
      <c r="A126" s="17" t="s">
        <v>573</v>
      </c>
      <c r="B126" s="17" t="s">
        <v>43</v>
      </c>
      <c r="C126" s="17" t="s">
        <v>171</v>
      </c>
      <c r="D126" s="17">
        <v>0.9</v>
      </c>
    </row>
    <row r="127" ht="15.0" customHeight="1">
      <c r="A127" s="17" t="s">
        <v>574</v>
      </c>
      <c r="B127" s="17" t="s">
        <v>47</v>
      </c>
      <c r="C127" s="17" t="s">
        <v>172</v>
      </c>
      <c r="D127" s="17">
        <v>0.9</v>
      </c>
    </row>
    <row r="128" ht="15.0" customHeight="1">
      <c r="A128" s="17" t="s">
        <v>575</v>
      </c>
      <c r="B128" s="17" t="s">
        <v>47</v>
      </c>
      <c r="C128" s="17" t="s">
        <v>173</v>
      </c>
      <c r="D128" s="17">
        <v>0.9</v>
      </c>
    </row>
    <row r="129" ht="15.0" customHeight="1">
      <c r="A129" s="17" t="s">
        <v>576</v>
      </c>
      <c r="B129" s="17" t="s">
        <v>47</v>
      </c>
      <c r="C129" s="17" t="s">
        <v>174</v>
      </c>
      <c r="D129" s="17">
        <v>0.9</v>
      </c>
    </row>
    <row r="130" ht="15.0" customHeight="1">
      <c r="A130" s="17" t="s">
        <v>577</v>
      </c>
      <c r="B130" s="17" t="s">
        <v>47</v>
      </c>
      <c r="C130" s="17" t="s">
        <v>175</v>
      </c>
      <c r="D130" s="17">
        <v>0.9</v>
      </c>
    </row>
    <row r="131" ht="15.0" customHeight="1">
      <c r="A131" s="17" t="s">
        <v>578</v>
      </c>
      <c r="B131" s="17" t="s">
        <v>47</v>
      </c>
      <c r="C131" s="17" t="s">
        <v>176</v>
      </c>
      <c r="D131" s="17">
        <v>0.9</v>
      </c>
    </row>
    <row r="132" ht="15.0" customHeight="1">
      <c r="A132" s="17" t="s">
        <v>579</v>
      </c>
      <c r="B132" s="17" t="s">
        <v>47</v>
      </c>
      <c r="C132" s="17" t="s">
        <v>177</v>
      </c>
      <c r="D132" s="17">
        <v>0.9</v>
      </c>
    </row>
    <row r="133" ht="15.0" customHeight="1">
      <c r="A133" s="17" t="s">
        <v>580</v>
      </c>
      <c r="B133" s="17" t="s">
        <v>47</v>
      </c>
      <c r="C133" s="17" t="s">
        <v>178</v>
      </c>
      <c r="D133" s="17">
        <v>0.9</v>
      </c>
    </row>
    <row r="134" ht="15.0" customHeight="1">
      <c r="A134" s="17" t="s">
        <v>581</v>
      </c>
      <c r="B134" s="17" t="s">
        <v>47</v>
      </c>
      <c r="C134" s="17" t="s">
        <v>179</v>
      </c>
      <c r="D134" s="17">
        <v>0.9</v>
      </c>
    </row>
    <row r="135" ht="15.0" customHeight="1">
      <c r="A135" s="17" t="s">
        <v>582</v>
      </c>
      <c r="B135" s="17" t="s">
        <v>47</v>
      </c>
      <c r="C135" s="17" t="s">
        <v>180</v>
      </c>
      <c r="D135" s="17">
        <v>0.9</v>
      </c>
    </row>
    <row r="136" ht="15.0" customHeight="1">
      <c r="A136" s="17" t="s">
        <v>583</v>
      </c>
      <c r="B136" s="17" t="s">
        <v>47</v>
      </c>
      <c r="C136" s="17" t="s">
        <v>181</v>
      </c>
      <c r="D136" s="17">
        <v>0.9</v>
      </c>
    </row>
    <row r="137" ht="15.0" customHeight="1">
      <c r="A137" s="17" t="s">
        <v>584</v>
      </c>
      <c r="B137" s="17" t="s">
        <v>47</v>
      </c>
      <c r="C137" s="17" t="s">
        <v>182</v>
      </c>
      <c r="D137" s="17">
        <v>0.9</v>
      </c>
    </row>
    <row r="138" ht="15.0" customHeight="1">
      <c r="A138" s="17" t="s">
        <v>585</v>
      </c>
      <c r="B138" s="17" t="s">
        <v>50</v>
      </c>
      <c r="C138" s="17" t="s">
        <v>183</v>
      </c>
      <c r="D138" s="17">
        <v>1.0</v>
      </c>
    </row>
    <row r="139" ht="15.0" customHeight="1">
      <c r="A139" s="17" t="s">
        <v>586</v>
      </c>
      <c r="B139" s="17" t="s">
        <v>50</v>
      </c>
      <c r="C139" s="17" t="s">
        <v>184</v>
      </c>
      <c r="D139" s="17">
        <v>1.0</v>
      </c>
    </row>
    <row r="140" ht="15.0" customHeight="1">
      <c r="A140" s="17" t="s">
        <v>587</v>
      </c>
      <c r="B140" s="17" t="s">
        <v>50</v>
      </c>
      <c r="C140" s="17" t="s">
        <v>185</v>
      </c>
      <c r="D140" s="17">
        <v>1.0</v>
      </c>
    </row>
    <row r="141" ht="15.0" customHeight="1">
      <c r="A141" s="17" t="s">
        <v>588</v>
      </c>
      <c r="B141" s="17" t="s">
        <v>50</v>
      </c>
      <c r="C141" s="17" t="s">
        <v>186</v>
      </c>
      <c r="D141" s="17">
        <v>1.0</v>
      </c>
    </row>
    <row r="142" ht="15.0" customHeight="1">
      <c r="A142" s="17" t="s">
        <v>589</v>
      </c>
      <c r="B142" s="17" t="s">
        <v>50</v>
      </c>
      <c r="C142" s="17" t="s">
        <v>187</v>
      </c>
      <c r="D142" s="17">
        <v>1.0</v>
      </c>
    </row>
    <row r="143" ht="15.0" customHeight="1">
      <c r="A143" s="17" t="s">
        <v>590</v>
      </c>
      <c r="B143" s="17" t="s">
        <v>50</v>
      </c>
      <c r="C143" s="17" t="s">
        <v>188</v>
      </c>
      <c r="D143" s="17">
        <v>1.0</v>
      </c>
    </row>
    <row r="144" ht="15.0" customHeight="1">
      <c r="A144" s="17" t="s">
        <v>591</v>
      </c>
      <c r="B144" s="17" t="s">
        <v>50</v>
      </c>
      <c r="C144" s="17" t="s">
        <v>189</v>
      </c>
      <c r="D144" s="17">
        <v>1.0</v>
      </c>
    </row>
    <row r="145" ht="15.0" customHeight="1">
      <c r="A145" s="17" t="s">
        <v>592</v>
      </c>
      <c r="B145" s="17" t="s">
        <v>50</v>
      </c>
      <c r="C145" s="17" t="s">
        <v>190</v>
      </c>
      <c r="D145" s="17">
        <v>1.0</v>
      </c>
    </row>
    <row r="146" ht="15.0" customHeight="1">
      <c r="A146" s="17" t="s">
        <v>593</v>
      </c>
      <c r="B146" s="17" t="s">
        <v>50</v>
      </c>
      <c r="C146" s="17" t="s">
        <v>191</v>
      </c>
      <c r="D146" s="17">
        <v>1.0</v>
      </c>
    </row>
    <row r="147" ht="15.0" customHeight="1">
      <c r="A147" s="17" t="s">
        <v>594</v>
      </c>
      <c r="B147" s="17" t="s">
        <v>50</v>
      </c>
      <c r="C147" s="17" t="s">
        <v>192</v>
      </c>
      <c r="D147" s="17">
        <v>1.0</v>
      </c>
    </row>
    <row r="148" ht="15.0" customHeight="1">
      <c r="A148" s="17" t="s">
        <v>595</v>
      </c>
      <c r="B148" s="17" t="s">
        <v>50</v>
      </c>
      <c r="C148" s="17" t="s">
        <v>193</v>
      </c>
      <c r="D148" s="17">
        <v>1.0</v>
      </c>
    </row>
    <row r="149" ht="15.0" customHeight="1">
      <c r="A149" s="17" t="s">
        <v>596</v>
      </c>
      <c r="B149" s="17" t="s">
        <v>50</v>
      </c>
      <c r="C149" s="17" t="s">
        <v>194</v>
      </c>
      <c r="D149" s="17">
        <v>1.0</v>
      </c>
    </row>
    <row r="150" ht="15.0" customHeight="1">
      <c r="A150" s="17" t="s">
        <v>597</v>
      </c>
      <c r="B150" s="17" t="s">
        <v>50</v>
      </c>
      <c r="C150" s="17" t="s">
        <v>195</v>
      </c>
      <c r="D150" s="17">
        <v>1.0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93AB7C4-5AE3-4D91-850D-60C3E4FDC62E}" filter="1" showAutoFilter="1">
      <autoFilter ref="$A$10:$D$150"/>
    </customSheetView>
  </customSheetViews>
  <mergeCells count="1">
    <mergeCell ref="A1:H1"/>
  </mergeCells>
  <conditionalFormatting sqref="A4:A7">
    <cfRule type="cellIs" dxfId="5" priority="1" operator="equal">
      <formula>0</formula>
    </cfRule>
  </conditionalFormatting>
  <conditionalFormatting sqref="A4:A7">
    <cfRule type="cellIs" dxfId="6" priority="2" operator="equal">
      <formula>1</formula>
    </cfRule>
  </conditionalFormatting>
  <conditionalFormatting sqref="A4:A7">
    <cfRule type="cellIs" dxfId="7" priority="3" operator="equal">
      <formula>2</formula>
    </cfRule>
  </conditionalFormatting>
  <conditionalFormatting sqref="A4:A7">
    <cfRule type="cellIs" dxfId="8" priority="4" operator="equal">
      <formula>3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28.0"/>
    <col customWidth="1" min="3" max="3" width="70.0"/>
    <col customWidth="1" min="4" max="4" width="14.0"/>
    <col customWidth="1" min="5" max="5" width="55.0"/>
    <col customWidth="1" min="6" max="26" width="8.63"/>
  </cols>
  <sheetData>
    <row r="1" ht="27.75" customHeight="1">
      <c r="A1" s="1" t="s">
        <v>598</v>
      </c>
    </row>
    <row r="3">
      <c r="A3" s="16" t="s">
        <v>53</v>
      </c>
      <c r="B3" s="16" t="s">
        <v>599</v>
      </c>
      <c r="C3" s="16" t="s">
        <v>600</v>
      </c>
      <c r="D3" s="16" t="s">
        <v>1</v>
      </c>
      <c r="E3" s="16" t="s">
        <v>601</v>
      </c>
    </row>
    <row r="4" ht="33.75" customHeight="1">
      <c r="A4" s="17" t="s">
        <v>24</v>
      </c>
      <c r="B4" s="17" t="s">
        <v>602</v>
      </c>
      <c r="C4" s="19" t="s">
        <v>603</v>
      </c>
      <c r="D4" s="19" t="s">
        <v>2</v>
      </c>
      <c r="E4" s="19" t="s">
        <v>604</v>
      </c>
    </row>
    <row r="5" ht="33.75" customHeight="1">
      <c r="A5" s="17" t="s">
        <v>24</v>
      </c>
      <c r="B5" s="17" t="s">
        <v>605</v>
      </c>
      <c r="C5" s="19" t="s">
        <v>606</v>
      </c>
      <c r="D5" s="19" t="s">
        <v>2</v>
      </c>
      <c r="E5" s="19" t="s">
        <v>604</v>
      </c>
    </row>
    <row r="6" ht="33.75" customHeight="1">
      <c r="A6" s="17" t="s">
        <v>24</v>
      </c>
      <c r="B6" s="17" t="s">
        <v>607</v>
      </c>
      <c r="C6" s="19" t="s">
        <v>608</v>
      </c>
      <c r="D6" s="19" t="s">
        <v>2</v>
      </c>
      <c r="E6" s="19" t="s">
        <v>604</v>
      </c>
    </row>
    <row r="7" ht="33.75" customHeight="1">
      <c r="A7" s="17" t="s">
        <v>39</v>
      </c>
      <c r="B7" s="17" t="s">
        <v>609</v>
      </c>
      <c r="C7" s="19" t="s">
        <v>610</v>
      </c>
      <c r="D7" s="19" t="s">
        <v>2</v>
      </c>
      <c r="E7" s="19" t="s">
        <v>604</v>
      </c>
    </row>
    <row r="8" ht="33.75" customHeight="1">
      <c r="A8" s="17" t="s">
        <v>39</v>
      </c>
      <c r="B8" s="17" t="s">
        <v>611</v>
      </c>
      <c r="C8" s="19" t="s">
        <v>612</v>
      </c>
      <c r="D8" s="19" t="s">
        <v>2</v>
      </c>
      <c r="E8" s="19" t="s">
        <v>604</v>
      </c>
    </row>
    <row r="9" ht="33.75" customHeight="1">
      <c r="A9" s="17" t="s">
        <v>39</v>
      </c>
      <c r="B9" s="17" t="s">
        <v>613</v>
      </c>
      <c r="C9" s="19" t="s">
        <v>614</v>
      </c>
      <c r="D9" s="19" t="s">
        <v>2</v>
      </c>
      <c r="E9" s="19" t="s">
        <v>604</v>
      </c>
    </row>
    <row r="10" ht="33.75" customHeight="1">
      <c r="A10" s="17" t="s">
        <v>199</v>
      </c>
      <c r="B10" s="17" t="s">
        <v>615</v>
      </c>
      <c r="C10" s="19" t="s">
        <v>616</v>
      </c>
      <c r="D10" s="19" t="s">
        <v>2</v>
      </c>
      <c r="E10" s="19" t="s">
        <v>604</v>
      </c>
    </row>
    <row r="11" ht="33.75" customHeight="1">
      <c r="A11" s="17" t="s">
        <v>199</v>
      </c>
      <c r="B11" s="17" t="s">
        <v>617</v>
      </c>
      <c r="C11" s="19" t="s">
        <v>618</v>
      </c>
      <c r="D11" s="19" t="s">
        <v>2</v>
      </c>
      <c r="E11" s="19" t="s">
        <v>604</v>
      </c>
    </row>
    <row r="12" ht="33.75" customHeight="1">
      <c r="A12" s="17" t="s">
        <v>199</v>
      </c>
      <c r="B12" s="17" t="s">
        <v>619</v>
      </c>
      <c r="C12" s="19" t="s">
        <v>620</v>
      </c>
      <c r="D12" s="19" t="s">
        <v>2</v>
      </c>
      <c r="E12" s="19" t="s">
        <v>604</v>
      </c>
    </row>
    <row r="13" ht="33.75" customHeight="1">
      <c r="A13" s="17" t="s">
        <v>202</v>
      </c>
      <c r="B13" s="17" t="s">
        <v>621</v>
      </c>
      <c r="C13" s="19" t="s">
        <v>622</v>
      </c>
      <c r="D13" s="19" t="s">
        <v>2</v>
      </c>
      <c r="E13" s="19" t="s">
        <v>604</v>
      </c>
    </row>
    <row r="14" ht="33.75" customHeight="1">
      <c r="A14" s="17" t="s">
        <v>202</v>
      </c>
      <c r="B14" s="17" t="s">
        <v>623</v>
      </c>
      <c r="C14" s="19" t="s">
        <v>624</v>
      </c>
      <c r="D14" s="19" t="s">
        <v>2</v>
      </c>
      <c r="E14" s="19" t="s">
        <v>604</v>
      </c>
    </row>
    <row r="15" ht="33.75" customHeight="1">
      <c r="A15" s="17" t="s">
        <v>202</v>
      </c>
      <c r="B15" s="17" t="s">
        <v>625</v>
      </c>
      <c r="C15" s="19" t="s">
        <v>626</v>
      </c>
      <c r="D15" s="19" t="s">
        <v>2</v>
      </c>
      <c r="E15" s="19" t="s">
        <v>604</v>
      </c>
    </row>
    <row r="16" ht="33.75" customHeight="1">
      <c r="A16" s="17" t="s">
        <v>41</v>
      </c>
      <c r="B16" s="17" t="s">
        <v>87</v>
      </c>
      <c r="C16" s="19" t="s">
        <v>627</v>
      </c>
      <c r="D16" s="19" t="s">
        <v>2</v>
      </c>
      <c r="E16" s="19" t="s">
        <v>604</v>
      </c>
    </row>
    <row r="17" ht="33.75" customHeight="1">
      <c r="A17" s="17" t="s">
        <v>41</v>
      </c>
      <c r="B17" s="17" t="s">
        <v>628</v>
      </c>
      <c r="C17" s="19" t="s">
        <v>629</v>
      </c>
      <c r="D17" s="19" t="s">
        <v>2</v>
      </c>
      <c r="E17" s="19" t="s">
        <v>604</v>
      </c>
    </row>
    <row r="18" ht="33.75" customHeight="1">
      <c r="A18" s="17" t="s">
        <v>41</v>
      </c>
      <c r="B18" s="17" t="s">
        <v>630</v>
      </c>
      <c r="C18" s="19" t="s">
        <v>631</v>
      </c>
      <c r="D18" s="19" t="s">
        <v>2</v>
      </c>
      <c r="E18" s="19" t="s">
        <v>604</v>
      </c>
    </row>
    <row r="19" ht="33.75" customHeight="1">
      <c r="A19" s="17" t="s">
        <v>34</v>
      </c>
      <c r="B19" s="17" t="s">
        <v>632</v>
      </c>
      <c r="C19" s="19" t="s">
        <v>633</v>
      </c>
      <c r="D19" s="19" t="s">
        <v>2</v>
      </c>
      <c r="E19" s="19" t="s">
        <v>604</v>
      </c>
    </row>
    <row r="20" ht="33.75" customHeight="1">
      <c r="A20" s="17" t="s">
        <v>34</v>
      </c>
      <c r="B20" s="17" t="s">
        <v>634</v>
      </c>
      <c r="C20" s="19" t="s">
        <v>635</v>
      </c>
      <c r="D20" s="19" t="s">
        <v>2</v>
      </c>
      <c r="E20" s="19" t="s">
        <v>604</v>
      </c>
    </row>
    <row r="21" ht="33.75" customHeight="1">
      <c r="A21" s="17" t="s">
        <v>34</v>
      </c>
      <c r="B21" s="17" t="s">
        <v>636</v>
      </c>
      <c r="C21" s="19" t="s">
        <v>637</v>
      </c>
      <c r="D21" s="19" t="s">
        <v>2</v>
      </c>
      <c r="E21" s="19" t="s">
        <v>604</v>
      </c>
    </row>
    <row r="22" ht="33.75" customHeight="1">
      <c r="A22" s="17" t="s">
        <v>205</v>
      </c>
      <c r="B22" s="17" t="s">
        <v>638</v>
      </c>
      <c r="C22" s="19" t="s">
        <v>639</v>
      </c>
      <c r="D22" s="19" t="s">
        <v>2</v>
      </c>
      <c r="E22" s="19" t="s">
        <v>604</v>
      </c>
    </row>
    <row r="23" ht="33.75" customHeight="1">
      <c r="A23" s="17" t="s">
        <v>205</v>
      </c>
      <c r="B23" s="17" t="s">
        <v>640</v>
      </c>
      <c r="C23" s="19" t="s">
        <v>641</v>
      </c>
      <c r="D23" s="19" t="s">
        <v>2</v>
      </c>
      <c r="E23" s="19" t="s">
        <v>604</v>
      </c>
    </row>
    <row r="24" ht="33.75" customHeight="1">
      <c r="A24" s="17" t="s">
        <v>205</v>
      </c>
      <c r="B24" s="17" t="s">
        <v>642</v>
      </c>
      <c r="C24" s="19" t="s">
        <v>643</v>
      </c>
      <c r="D24" s="19" t="s">
        <v>2</v>
      </c>
      <c r="E24" s="19" t="s">
        <v>604</v>
      </c>
    </row>
    <row r="25" ht="33.75" customHeight="1">
      <c r="A25" s="17" t="s">
        <v>19</v>
      </c>
      <c r="B25" s="17" t="s">
        <v>638</v>
      </c>
      <c r="C25" s="19" t="s">
        <v>644</v>
      </c>
      <c r="D25" s="19" t="s">
        <v>2</v>
      </c>
      <c r="E25" s="19" t="s">
        <v>604</v>
      </c>
    </row>
    <row r="26" ht="33.75" customHeight="1">
      <c r="A26" s="17" t="s">
        <v>19</v>
      </c>
      <c r="B26" s="17" t="s">
        <v>632</v>
      </c>
      <c r="C26" s="19" t="s">
        <v>645</v>
      </c>
      <c r="D26" s="19" t="s">
        <v>2</v>
      </c>
      <c r="E26" s="19" t="s">
        <v>604</v>
      </c>
    </row>
    <row r="27" ht="33.75" customHeight="1">
      <c r="A27" s="17" t="s">
        <v>19</v>
      </c>
      <c r="B27" s="17" t="s">
        <v>646</v>
      </c>
      <c r="C27" s="19" t="s">
        <v>647</v>
      </c>
      <c r="D27" s="19" t="s">
        <v>2</v>
      </c>
      <c r="E27" s="19" t="s">
        <v>604</v>
      </c>
    </row>
    <row r="28" ht="33.75" customHeight="1">
      <c r="A28" s="17" t="s">
        <v>207</v>
      </c>
      <c r="B28" s="17" t="s">
        <v>648</v>
      </c>
      <c r="C28" s="19" t="s">
        <v>649</v>
      </c>
      <c r="D28" s="19" t="s">
        <v>2</v>
      </c>
      <c r="E28" s="19" t="s">
        <v>604</v>
      </c>
    </row>
    <row r="29" ht="33.75" customHeight="1">
      <c r="A29" s="17" t="s">
        <v>207</v>
      </c>
      <c r="B29" s="17" t="s">
        <v>650</v>
      </c>
      <c r="C29" s="19" t="s">
        <v>651</v>
      </c>
      <c r="D29" s="19" t="s">
        <v>2</v>
      </c>
      <c r="E29" s="19" t="s">
        <v>604</v>
      </c>
    </row>
    <row r="30" ht="33.75" customHeight="1">
      <c r="A30" s="17" t="s">
        <v>207</v>
      </c>
      <c r="B30" s="17" t="s">
        <v>652</v>
      </c>
      <c r="C30" s="19" t="s">
        <v>653</v>
      </c>
      <c r="D30" s="19" t="s">
        <v>2</v>
      </c>
      <c r="E30" s="19" t="s">
        <v>604</v>
      </c>
    </row>
    <row r="31" ht="33.75" customHeight="1">
      <c r="A31" s="17" t="s">
        <v>31</v>
      </c>
      <c r="B31" s="17" t="s">
        <v>632</v>
      </c>
      <c r="C31" s="19" t="s">
        <v>654</v>
      </c>
      <c r="D31" s="19" t="s">
        <v>2</v>
      </c>
      <c r="E31" s="19" t="s">
        <v>604</v>
      </c>
    </row>
    <row r="32" ht="33.75" customHeight="1">
      <c r="A32" s="17" t="s">
        <v>31</v>
      </c>
      <c r="B32" s="17" t="s">
        <v>638</v>
      </c>
      <c r="C32" s="19" t="s">
        <v>655</v>
      </c>
      <c r="D32" s="19" t="s">
        <v>2</v>
      </c>
      <c r="E32" s="19" t="s">
        <v>604</v>
      </c>
    </row>
    <row r="33" ht="33.75" customHeight="1">
      <c r="A33" s="17" t="s">
        <v>31</v>
      </c>
      <c r="B33" s="17" t="s">
        <v>656</v>
      </c>
      <c r="C33" s="19" t="s">
        <v>657</v>
      </c>
      <c r="D33" s="19" t="s">
        <v>2</v>
      </c>
      <c r="E33" s="19" t="s">
        <v>604</v>
      </c>
    </row>
    <row r="34" ht="33.75" customHeight="1">
      <c r="A34" s="17" t="s">
        <v>209</v>
      </c>
      <c r="B34" s="17" t="s">
        <v>658</v>
      </c>
      <c r="C34" s="19" t="s">
        <v>659</v>
      </c>
      <c r="D34" s="19" t="s">
        <v>2</v>
      </c>
      <c r="E34" s="19" t="s">
        <v>604</v>
      </c>
    </row>
    <row r="35" ht="33.75" customHeight="1">
      <c r="A35" s="17" t="s">
        <v>209</v>
      </c>
      <c r="B35" s="17" t="s">
        <v>660</v>
      </c>
      <c r="C35" s="19" t="s">
        <v>661</v>
      </c>
      <c r="D35" s="19" t="s">
        <v>2</v>
      </c>
      <c r="E35" s="19" t="s">
        <v>604</v>
      </c>
    </row>
    <row r="36" ht="33.75" customHeight="1">
      <c r="A36" s="17" t="s">
        <v>209</v>
      </c>
      <c r="B36" s="17" t="s">
        <v>638</v>
      </c>
      <c r="C36" s="19" t="s">
        <v>662</v>
      </c>
      <c r="D36" s="19" t="s">
        <v>2</v>
      </c>
      <c r="E36" s="19" t="s">
        <v>604</v>
      </c>
    </row>
    <row r="37" ht="33.75" customHeight="1">
      <c r="A37" s="17" t="s">
        <v>211</v>
      </c>
      <c r="B37" s="17" t="s">
        <v>638</v>
      </c>
      <c r="C37" s="19" t="s">
        <v>663</v>
      </c>
      <c r="D37" s="19" t="s">
        <v>2</v>
      </c>
      <c r="E37" s="19" t="s">
        <v>604</v>
      </c>
    </row>
    <row r="38" ht="33.75" customHeight="1">
      <c r="A38" s="17" t="s">
        <v>211</v>
      </c>
      <c r="B38" s="17" t="s">
        <v>664</v>
      </c>
      <c r="C38" s="19" t="s">
        <v>665</v>
      </c>
      <c r="D38" s="19" t="s">
        <v>2</v>
      </c>
      <c r="E38" s="19" t="s">
        <v>604</v>
      </c>
    </row>
    <row r="39" ht="33.75" customHeight="1">
      <c r="A39" s="17" t="s">
        <v>211</v>
      </c>
      <c r="B39" s="17" t="s">
        <v>666</v>
      </c>
      <c r="C39" s="19" t="s">
        <v>667</v>
      </c>
      <c r="D39" s="19" t="s">
        <v>2</v>
      </c>
      <c r="E39" s="19" t="s">
        <v>604</v>
      </c>
    </row>
    <row r="40" ht="33.75" customHeight="1">
      <c r="A40" s="17" t="s">
        <v>213</v>
      </c>
      <c r="B40" s="17" t="s">
        <v>638</v>
      </c>
      <c r="C40" s="19" t="s">
        <v>668</v>
      </c>
      <c r="D40" s="19" t="s">
        <v>2</v>
      </c>
      <c r="E40" s="19" t="s">
        <v>604</v>
      </c>
    </row>
    <row r="41" ht="33.75" customHeight="1">
      <c r="A41" s="17" t="s">
        <v>213</v>
      </c>
      <c r="B41" s="17" t="s">
        <v>669</v>
      </c>
      <c r="C41" s="19" t="s">
        <v>670</v>
      </c>
      <c r="D41" s="19" t="s">
        <v>2</v>
      </c>
      <c r="E41" s="19" t="s">
        <v>604</v>
      </c>
    </row>
    <row r="42" ht="33.75" customHeight="1">
      <c r="A42" s="17" t="s">
        <v>213</v>
      </c>
      <c r="B42" s="17" t="s">
        <v>634</v>
      </c>
      <c r="C42" s="19" t="s">
        <v>671</v>
      </c>
      <c r="D42" s="19" t="s">
        <v>2</v>
      </c>
      <c r="E42" s="19" t="s">
        <v>604</v>
      </c>
    </row>
    <row r="43" ht="33.75" customHeight="1">
      <c r="A43" s="17" t="s">
        <v>215</v>
      </c>
      <c r="B43" s="17" t="s">
        <v>638</v>
      </c>
      <c r="C43" s="19" t="s">
        <v>672</v>
      </c>
      <c r="D43" s="19" t="s">
        <v>2</v>
      </c>
      <c r="E43" s="19" t="s">
        <v>604</v>
      </c>
    </row>
    <row r="44" ht="33.75" customHeight="1">
      <c r="A44" s="17" t="s">
        <v>215</v>
      </c>
      <c r="B44" s="17" t="s">
        <v>634</v>
      </c>
      <c r="C44" s="19" t="s">
        <v>673</v>
      </c>
      <c r="D44" s="19" t="s">
        <v>2</v>
      </c>
      <c r="E44" s="19" t="s">
        <v>604</v>
      </c>
    </row>
    <row r="45" ht="33.75" customHeight="1">
      <c r="A45" s="17" t="s">
        <v>215</v>
      </c>
      <c r="B45" s="17" t="s">
        <v>674</v>
      </c>
      <c r="C45" s="19" t="s">
        <v>675</v>
      </c>
      <c r="D45" s="19" t="s">
        <v>2</v>
      </c>
      <c r="E45" s="19" t="s">
        <v>604</v>
      </c>
    </row>
    <row r="46" ht="33.75" customHeight="1">
      <c r="A46" s="17" t="s">
        <v>217</v>
      </c>
      <c r="B46" s="17" t="s">
        <v>638</v>
      </c>
      <c r="C46" s="19" t="s">
        <v>676</v>
      </c>
      <c r="D46" s="19" t="s">
        <v>2</v>
      </c>
      <c r="E46" s="19" t="s">
        <v>604</v>
      </c>
    </row>
    <row r="47" ht="33.75" customHeight="1">
      <c r="A47" s="17" t="s">
        <v>217</v>
      </c>
      <c r="B47" s="17" t="s">
        <v>650</v>
      </c>
      <c r="C47" s="19" t="s">
        <v>677</v>
      </c>
      <c r="D47" s="19" t="s">
        <v>2</v>
      </c>
      <c r="E47" s="19" t="s">
        <v>604</v>
      </c>
    </row>
    <row r="48" ht="33.75" customHeight="1">
      <c r="A48" s="17" t="s">
        <v>219</v>
      </c>
      <c r="B48" s="17" t="s">
        <v>678</v>
      </c>
      <c r="C48" s="19" t="s">
        <v>679</v>
      </c>
      <c r="D48" s="19" t="s">
        <v>2</v>
      </c>
      <c r="E48" s="19" t="s">
        <v>604</v>
      </c>
    </row>
    <row r="49" ht="33.75" customHeight="1">
      <c r="A49" s="17" t="s">
        <v>219</v>
      </c>
      <c r="B49" s="17" t="s">
        <v>680</v>
      </c>
      <c r="C49" s="19" t="s">
        <v>681</v>
      </c>
      <c r="D49" s="19" t="s">
        <v>2</v>
      </c>
      <c r="E49" s="19" t="s">
        <v>604</v>
      </c>
    </row>
    <row r="50" ht="33.75" customHeight="1">
      <c r="A50" s="17" t="s">
        <v>219</v>
      </c>
      <c r="B50" s="17" t="s">
        <v>625</v>
      </c>
      <c r="C50" s="19" t="s">
        <v>682</v>
      </c>
      <c r="D50" s="19" t="s">
        <v>2</v>
      </c>
      <c r="E50" s="19" t="s">
        <v>604</v>
      </c>
    </row>
    <row r="51" ht="33.75" customHeight="1">
      <c r="A51" s="17" t="s">
        <v>219</v>
      </c>
      <c r="B51" s="17" t="s">
        <v>683</v>
      </c>
      <c r="C51" s="19" t="s">
        <v>684</v>
      </c>
      <c r="D51" s="19" t="s">
        <v>2</v>
      </c>
      <c r="E51" s="19" t="s">
        <v>604</v>
      </c>
    </row>
    <row r="52" ht="33.75" customHeight="1">
      <c r="A52" s="17" t="s">
        <v>221</v>
      </c>
      <c r="B52" s="17" t="s">
        <v>685</v>
      </c>
      <c r="C52" s="19" t="s">
        <v>686</v>
      </c>
      <c r="D52" s="19" t="s">
        <v>2</v>
      </c>
      <c r="E52" s="19" t="s">
        <v>604</v>
      </c>
    </row>
    <row r="53" ht="33.75" customHeight="1">
      <c r="A53" s="17" t="s">
        <v>221</v>
      </c>
      <c r="B53" s="17" t="s">
        <v>687</v>
      </c>
      <c r="C53" s="19" t="s">
        <v>688</v>
      </c>
      <c r="D53" s="19" t="s">
        <v>2</v>
      </c>
      <c r="E53" s="19" t="s">
        <v>604</v>
      </c>
    </row>
    <row r="54" ht="33.75" customHeight="1">
      <c r="A54" s="17" t="s">
        <v>221</v>
      </c>
      <c r="B54" s="17" t="s">
        <v>689</v>
      </c>
      <c r="C54" s="19" t="s">
        <v>690</v>
      </c>
      <c r="D54" s="19" t="s">
        <v>2</v>
      </c>
      <c r="E54" s="19" t="s">
        <v>604</v>
      </c>
    </row>
    <row r="55" ht="33.75" customHeight="1">
      <c r="A55" s="17" t="s">
        <v>224</v>
      </c>
      <c r="B55" s="17" t="s">
        <v>691</v>
      </c>
      <c r="C55" s="19" t="s">
        <v>692</v>
      </c>
      <c r="D55" s="19" t="s">
        <v>2</v>
      </c>
      <c r="E55" s="19" t="s">
        <v>604</v>
      </c>
    </row>
    <row r="56" ht="33.75" customHeight="1">
      <c r="A56" s="17" t="s">
        <v>224</v>
      </c>
      <c r="B56" s="17" t="s">
        <v>693</v>
      </c>
      <c r="C56" s="19" t="s">
        <v>694</v>
      </c>
      <c r="D56" s="19" t="s">
        <v>2</v>
      </c>
      <c r="E56" s="19" t="s">
        <v>604</v>
      </c>
    </row>
    <row r="57" ht="33.75" customHeight="1">
      <c r="A57" s="17" t="s">
        <v>224</v>
      </c>
      <c r="B57" s="17" t="s">
        <v>695</v>
      </c>
      <c r="C57" s="19" t="s">
        <v>696</v>
      </c>
      <c r="D57" s="19" t="s">
        <v>2</v>
      </c>
      <c r="E57" s="19" t="s">
        <v>604</v>
      </c>
    </row>
    <row r="58" ht="33.75" customHeight="1">
      <c r="A58" s="17" t="s">
        <v>28</v>
      </c>
      <c r="B58" s="17" t="s">
        <v>697</v>
      </c>
      <c r="C58" s="19" t="s">
        <v>698</v>
      </c>
      <c r="D58" s="19" t="s">
        <v>2</v>
      </c>
      <c r="E58" s="19" t="s">
        <v>604</v>
      </c>
    </row>
    <row r="59" ht="33.75" customHeight="1">
      <c r="A59" s="17" t="s">
        <v>28</v>
      </c>
      <c r="B59" s="17" t="s">
        <v>699</v>
      </c>
      <c r="C59" s="19" t="s">
        <v>700</v>
      </c>
      <c r="D59" s="19" t="s">
        <v>2</v>
      </c>
      <c r="E59" s="19" t="s">
        <v>604</v>
      </c>
    </row>
    <row r="60" ht="33.75" customHeight="1">
      <c r="A60" s="17" t="s">
        <v>28</v>
      </c>
      <c r="B60" s="17" t="s">
        <v>701</v>
      </c>
      <c r="C60" s="19" t="s">
        <v>702</v>
      </c>
      <c r="D60" s="19" t="s">
        <v>2</v>
      </c>
      <c r="E60" s="19" t="s">
        <v>604</v>
      </c>
    </row>
    <row r="61" ht="33.75" customHeight="1">
      <c r="A61" s="17" t="s">
        <v>227</v>
      </c>
      <c r="B61" s="17" t="s">
        <v>227</v>
      </c>
      <c r="C61" s="19" t="s">
        <v>703</v>
      </c>
      <c r="D61" s="19" t="s">
        <v>2</v>
      </c>
      <c r="E61" s="19" t="s">
        <v>604</v>
      </c>
    </row>
    <row r="62" ht="33.75" customHeight="1">
      <c r="A62" s="17" t="s">
        <v>227</v>
      </c>
      <c r="B62" s="17" t="s">
        <v>704</v>
      </c>
      <c r="C62" s="19" t="s">
        <v>705</v>
      </c>
      <c r="D62" s="19" t="s">
        <v>2</v>
      </c>
      <c r="E62" s="19" t="s">
        <v>604</v>
      </c>
    </row>
    <row r="63" ht="33.75" customHeight="1">
      <c r="A63" s="17" t="s">
        <v>227</v>
      </c>
      <c r="B63" s="17" t="s">
        <v>706</v>
      </c>
      <c r="C63" s="19" t="s">
        <v>707</v>
      </c>
      <c r="D63" s="19" t="s">
        <v>2</v>
      </c>
      <c r="E63" s="19" t="s">
        <v>604</v>
      </c>
    </row>
    <row r="64" ht="33.75" customHeight="1">
      <c r="A64" s="17" t="s">
        <v>48</v>
      </c>
      <c r="B64" s="17" t="s">
        <v>708</v>
      </c>
      <c r="C64" s="19" t="s">
        <v>709</v>
      </c>
      <c r="D64" s="19" t="s">
        <v>2</v>
      </c>
      <c r="E64" s="19" t="s">
        <v>604</v>
      </c>
    </row>
    <row r="65" ht="33.75" customHeight="1">
      <c r="A65" s="17" t="s">
        <v>48</v>
      </c>
      <c r="B65" s="17" t="s">
        <v>710</v>
      </c>
      <c r="C65" s="19" t="s">
        <v>711</v>
      </c>
      <c r="D65" s="19" t="s">
        <v>2</v>
      </c>
      <c r="E65" s="19" t="s">
        <v>604</v>
      </c>
    </row>
    <row r="66" ht="33.75" customHeight="1">
      <c r="A66" s="17" t="s">
        <v>48</v>
      </c>
      <c r="B66" s="17" t="s">
        <v>712</v>
      </c>
      <c r="C66" s="19" t="s">
        <v>713</v>
      </c>
      <c r="D66" s="19" t="s">
        <v>2</v>
      </c>
      <c r="E66" s="19" t="s">
        <v>604</v>
      </c>
    </row>
    <row r="67" ht="33.75" customHeight="1">
      <c r="A67" s="17" t="s">
        <v>45</v>
      </c>
      <c r="B67" s="17" t="s">
        <v>714</v>
      </c>
      <c r="C67" s="19" t="s">
        <v>715</v>
      </c>
      <c r="D67" s="19" t="s">
        <v>2</v>
      </c>
      <c r="E67" s="19" t="s">
        <v>604</v>
      </c>
    </row>
    <row r="68" ht="33.75" customHeight="1">
      <c r="A68" s="17" t="s">
        <v>45</v>
      </c>
      <c r="B68" s="17" t="s">
        <v>716</v>
      </c>
      <c r="C68" s="19" t="s">
        <v>717</v>
      </c>
      <c r="D68" s="19" t="s">
        <v>2</v>
      </c>
      <c r="E68" s="19" t="s">
        <v>604</v>
      </c>
    </row>
    <row r="69" ht="33.75" customHeight="1">
      <c r="A69" s="17" t="s">
        <v>45</v>
      </c>
      <c r="B69" s="17" t="s">
        <v>718</v>
      </c>
      <c r="C69" s="19" t="s">
        <v>719</v>
      </c>
      <c r="D69" s="19" t="s">
        <v>2</v>
      </c>
      <c r="E69" s="19" t="s">
        <v>604</v>
      </c>
    </row>
    <row r="70" ht="33.75" customHeight="1">
      <c r="A70" s="17" t="s">
        <v>229</v>
      </c>
      <c r="B70" s="17" t="s">
        <v>632</v>
      </c>
      <c r="C70" s="19" t="s">
        <v>720</v>
      </c>
      <c r="D70" s="19" t="s">
        <v>2</v>
      </c>
      <c r="E70" s="19" t="s">
        <v>604</v>
      </c>
    </row>
    <row r="71" ht="33.75" customHeight="1">
      <c r="A71" s="17" t="s">
        <v>229</v>
      </c>
      <c r="B71" s="17" t="s">
        <v>721</v>
      </c>
      <c r="C71" s="19" t="s">
        <v>722</v>
      </c>
      <c r="D71" s="19" t="s">
        <v>2</v>
      </c>
      <c r="E71" s="19" t="s">
        <v>604</v>
      </c>
    </row>
    <row r="72" ht="33.75" customHeight="1">
      <c r="A72" s="17" t="s">
        <v>229</v>
      </c>
      <c r="B72" s="17" t="s">
        <v>723</v>
      </c>
      <c r="C72" s="19" t="s">
        <v>724</v>
      </c>
      <c r="D72" s="19" t="s">
        <v>2</v>
      </c>
      <c r="E72" s="19" t="s">
        <v>604</v>
      </c>
    </row>
    <row r="73" ht="33.75" customHeight="1">
      <c r="A73" s="17" t="s">
        <v>232</v>
      </c>
      <c r="B73" s="17" t="s">
        <v>725</v>
      </c>
      <c r="C73" s="19" t="s">
        <v>726</v>
      </c>
      <c r="D73" s="19" t="s">
        <v>2</v>
      </c>
      <c r="E73" s="19" t="s">
        <v>604</v>
      </c>
    </row>
    <row r="74" ht="33.75" customHeight="1">
      <c r="A74" s="17" t="s">
        <v>232</v>
      </c>
      <c r="B74" s="17" t="s">
        <v>727</v>
      </c>
      <c r="C74" s="19" t="s">
        <v>728</v>
      </c>
      <c r="D74" s="19" t="s">
        <v>2</v>
      </c>
      <c r="E74" s="19" t="s">
        <v>604</v>
      </c>
    </row>
    <row r="75" ht="33.75" customHeight="1">
      <c r="A75" s="17" t="s">
        <v>232</v>
      </c>
      <c r="B75" s="17" t="s">
        <v>638</v>
      </c>
      <c r="C75" s="19" t="s">
        <v>729</v>
      </c>
      <c r="D75" s="19" t="s">
        <v>2</v>
      </c>
      <c r="E75" s="19" t="s">
        <v>604</v>
      </c>
    </row>
    <row r="76" ht="33.75" customHeight="1">
      <c r="A76" s="17" t="s">
        <v>234</v>
      </c>
      <c r="B76" s="17" t="s">
        <v>730</v>
      </c>
      <c r="C76" s="19" t="s">
        <v>731</v>
      </c>
      <c r="D76" s="19" t="s">
        <v>2</v>
      </c>
      <c r="E76" s="19" t="s">
        <v>604</v>
      </c>
    </row>
    <row r="77" ht="33.75" customHeight="1">
      <c r="A77" s="17" t="s">
        <v>234</v>
      </c>
      <c r="B77" s="17" t="s">
        <v>732</v>
      </c>
      <c r="C77" s="19" t="s">
        <v>733</v>
      </c>
      <c r="D77" s="19" t="s">
        <v>2</v>
      </c>
      <c r="E77" s="19" t="s">
        <v>604</v>
      </c>
    </row>
    <row r="78" ht="33.75" customHeight="1">
      <c r="A78" s="17" t="s">
        <v>234</v>
      </c>
      <c r="B78" s="17" t="s">
        <v>734</v>
      </c>
      <c r="C78" s="19" t="s">
        <v>735</v>
      </c>
      <c r="D78" s="19" t="s">
        <v>2</v>
      </c>
      <c r="E78" s="19" t="s">
        <v>604</v>
      </c>
    </row>
    <row r="79" ht="33.75" customHeight="1">
      <c r="A79" s="17" t="s">
        <v>237</v>
      </c>
      <c r="B79" s="17" t="s">
        <v>638</v>
      </c>
      <c r="C79" s="19" t="s">
        <v>736</v>
      </c>
      <c r="D79" s="19" t="s">
        <v>2</v>
      </c>
      <c r="E79" s="19" t="s">
        <v>604</v>
      </c>
    </row>
    <row r="80" ht="33.75" customHeight="1">
      <c r="A80" s="17" t="s">
        <v>237</v>
      </c>
      <c r="B80" s="17" t="s">
        <v>737</v>
      </c>
      <c r="C80" s="19" t="s">
        <v>738</v>
      </c>
      <c r="D80" s="19" t="s">
        <v>2</v>
      </c>
      <c r="E80" s="19" t="s">
        <v>604</v>
      </c>
    </row>
    <row r="81" ht="33.75" customHeight="1">
      <c r="A81" s="17" t="s">
        <v>237</v>
      </c>
      <c r="B81" s="17" t="s">
        <v>739</v>
      </c>
      <c r="C81" s="19" t="s">
        <v>740</v>
      </c>
      <c r="D81" s="19" t="s">
        <v>2</v>
      </c>
      <c r="E81" s="19" t="s">
        <v>604</v>
      </c>
    </row>
    <row r="82" ht="33.75" customHeight="1">
      <c r="A82" s="17" t="s">
        <v>239</v>
      </c>
      <c r="B82" s="17" t="s">
        <v>741</v>
      </c>
      <c r="C82" s="19" t="s">
        <v>742</v>
      </c>
      <c r="D82" s="19" t="s">
        <v>2</v>
      </c>
      <c r="E82" s="19" t="s">
        <v>604</v>
      </c>
    </row>
    <row r="83" ht="33.75" customHeight="1">
      <c r="A83" s="17" t="s">
        <v>239</v>
      </c>
      <c r="B83" s="17" t="s">
        <v>743</v>
      </c>
      <c r="C83" s="19" t="s">
        <v>744</v>
      </c>
      <c r="D83" s="19" t="s">
        <v>2</v>
      </c>
      <c r="E83" s="19" t="s">
        <v>604</v>
      </c>
    </row>
    <row r="84" ht="33.75" customHeight="1">
      <c r="A84" s="17" t="s">
        <v>242</v>
      </c>
      <c r="B84" s="17" t="s">
        <v>638</v>
      </c>
      <c r="C84" s="19" t="s">
        <v>745</v>
      </c>
      <c r="D84" s="19" t="s">
        <v>2</v>
      </c>
      <c r="E84" s="19" t="s">
        <v>604</v>
      </c>
    </row>
    <row r="85" ht="33.75" customHeight="1">
      <c r="A85" s="17" t="s">
        <v>242</v>
      </c>
      <c r="B85" s="17" t="s">
        <v>602</v>
      </c>
      <c r="C85" s="19" t="s">
        <v>746</v>
      </c>
      <c r="D85" s="19" t="s">
        <v>2</v>
      </c>
      <c r="E85" s="19" t="s">
        <v>604</v>
      </c>
    </row>
    <row r="86" ht="33.75" customHeight="1">
      <c r="A86" s="17" t="s">
        <v>244</v>
      </c>
      <c r="B86" s="17" t="s">
        <v>638</v>
      </c>
      <c r="C86" s="19" t="s">
        <v>747</v>
      </c>
      <c r="D86" s="19" t="s">
        <v>2</v>
      </c>
      <c r="E86" s="19" t="s">
        <v>604</v>
      </c>
    </row>
    <row r="87" ht="33.75" customHeight="1">
      <c r="A87" s="17" t="s">
        <v>244</v>
      </c>
      <c r="B87" s="17" t="s">
        <v>748</v>
      </c>
      <c r="C87" s="19" t="s">
        <v>749</v>
      </c>
      <c r="D87" s="19" t="s">
        <v>2</v>
      </c>
      <c r="E87" s="19" t="s">
        <v>604</v>
      </c>
    </row>
    <row r="88" ht="33.75" customHeight="1">
      <c r="A88" s="17" t="s">
        <v>246</v>
      </c>
      <c r="B88" s="17" t="s">
        <v>638</v>
      </c>
      <c r="C88" s="19" t="s">
        <v>750</v>
      </c>
      <c r="D88" s="19" t="s">
        <v>2</v>
      </c>
      <c r="E88" s="19" t="s">
        <v>604</v>
      </c>
    </row>
    <row r="89" ht="33.75" customHeight="1">
      <c r="A89" s="17" t="s">
        <v>246</v>
      </c>
      <c r="B89" s="17" t="s">
        <v>751</v>
      </c>
      <c r="C89" s="19" t="s">
        <v>752</v>
      </c>
      <c r="D89" s="19" t="s">
        <v>2</v>
      </c>
      <c r="E89" s="19" t="s">
        <v>604</v>
      </c>
    </row>
    <row r="90" ht="33.75" customHeight="1">
      <c r="A90" s="17" t="s">
        <v>246</v>
      </c>
      <c r="B90" s="17" t="s">
        <v>753</v>
      </c>
      <c r="C90" s="19" t="s">
        <v>754</v>
      </c>
      <c r="D90" s="19" t="s">
        <v>2</v>
      </c>
      <c r="E90" s="19" t="s">
        <v>604</v>
      </c>
    </row>
    <row r="91" ht="33.75" customHeight="1">
      <c r="A91" s="17" t="s">
        <v>248</v>
      </c>
      <c r="B91" s="17" t="s">
        <v>638</v>
      </c>
      <c r="C91" s="19" t="s">
        <v>755</v>
      </c>
      <c r="D91" s="19" t="s">
        <v>2</v>
      </c>
      <c r="E91" s="19" t="s">
        <v>604</v>
      </c>
    </row>
    <row r="92" ht="33.75" customHeight="1">
      <c r="A92" s="17" t="s">
        <v>248</v>
      </c>
      <c r="B92" s="17" t="s">
        <v>756</v>
      </c>
      <c r="C92" s="19" t="s">
        <v>757</v>
      </c>
      <c r="D92" s="19" t="s">
        <v>2</v>
      </c>
      <c r="E92" s="19" t="s">
        <v>604</v>
      </c>
    </row>
    <row r="93" ht="33.75" customHeight="1">
      <c r="A93" s="17" t="s">
        <v>248</v>
      </c>
      <c r="B93" s="17" t="s">
        <v>758</v>
      </c>
      <c r="C93" s="19" t="s">
        <v>759</v>
      </c>
      <c r="D93" s="19" t="s">
        <v>2</v>
      </c>
      <c r="E93" s="19" t="s">
        <v>604</v>
      </c>
    </row>
    <row r="94" ht="33.75" customHeight="1">
      <c r="A94" s="17" t="s">
        <v>250</v>
      </c>
      <c r="B94" s="17" t="s">
        <v>638</v>
      </c>
      <c r="C94" s="19" t="s">
        <v>760</v>
      </c>
      <c r="D94" s="19" t="s">
        <v>2</v>
      </c>
      <c r="E94" s="19" t="s">
        <v>604</v>
      </c>
    </row>
    <row r="95" ht="33.75" customHeight="1">
      <c r="A95" s="17" t="s">
        <v>250</v>
      </c>
      <c r="B95" s="17" t="s">
        <v>761</v>
      </c>
      <c r="C95" s="19" t="s">
        <v>762</v>
      </c>
      <c r="D95" s="19" t="s">
        <v>2</v>
      </c>
      <c r="E95" s="19" t="s">
        <v>604</v>
      </c>
    </row>
    <row r="96" ht="33.75" customHeight="1">
      <c r="A96" s="17" t="s">
        <v>250</v>
      </c>
      <c r="B96" s="17" t="s">
        <v>763</v>
      </c>
      <c r="C96" s="19" t="s">
        <v>764</v>
      </c>
      <c r="D96" s="19" t="s">
        <v>2</v>
      </c>
      <c r="E96" s="19" t="s">
        <v>604</v>
      </c>
    </row>
    <row r="97" ht="33.75" customHeight="1">
      <c r="A97" s="17" t="s">
        <v>252</v>
      </c>
      <c r="B97" s="17" t="s">
        <v>638</v>
      </c>
      <c r="C97" s="19" t="s">
        <v>765</v>
      </c>
      <c r="D97" s="19" t="s">
        <v>2</v>
      </c>
      <c r="E97" s="19" t="s">
        <v>604</v>
      </c>
    </row>
    <row r="98" ht="33.75" customHeight="1">
      <c r="A98" s="17" t="s">
        <v>252</v>
      </c>
      <c r="B98" s="17" t="s">
        <v>766</v>
      </c>
      <c r="C98" s="19" t="s">
        <v>767</v>
      </c>
      <c r="D98" s="19" t="s">
        <v>2</v>
      </c>
      <c r="E98" s="19" t="s">
        <v>604</v>
      </c>
    </row>
    <row r="99" ht="33.75" customHeight="1">
      <c r="A99" s="17" t="s">
        <v>252</v>
      </c>
      <c r="B99" s="17" t="s">
        <v>768</v>
      </c>
      <c r="C99" s="19" t="s">
        <v>769</v>
      </c>
      <c r="D99" s="19" t="s">
        <v>2</v>
      </c>
      <c r="E99" s="19" t="s">
        <v>604</v>
      </c>
    </row>
    <row r="100" ht="33.75" customHeight="1">
      <c r="A100" s="17" t="s">
        <v>252</v>
      </c>
      <c r="B100" s="17" t="s">
        <v>770</v>
      </c>
      <c r="C100" s="19" t="s">
        <v>771</v>
      </c>
      <c r="D100" s="19" t="s">
        <v>2</v>
      </c>
      <c r="E100" s="19" t="s">
        <v>604</v>
      </c>
    </row>
    <row r="101" ht="33.75" customHeight="1">
      <c r="A101" s="17" t="s">
        <v>36</v>
      </c>
      <c r="B101" s="17" t="s">
        <v>638</v>
      </c>
      <c r="C101" s="19" t="s">
        <v>772</v>
      </c>
      <c r="D101" s="19" t="s">
        <v>2</v>
      </c>
      <c r="E101" s="19" t="s">
        <v>604</v>
      </c>
    </row>
    <row r="102" ht="33.75" customHeight="1">
      <c r="A102" s="17" t="s">
        <v>36</v>
      </c>
      <c r="B102" s="17" t="s">
        <v>632</v>
      </c>
      <c r="C102" s="19" t="s">
        <v>773</v>
      </c>
      <c r="D102" s="19" t="s">
        <v>2</v>
      </c>
      <c r="E102" s="19" t="s">
        <v>604</v>
      </c>
    </row>
    <row r="103" ht="33.75" customHeight="1">
      <c r="A103" s="17" t="s">
        <v>36</v>
      </c>
      <c r="B103" s="17" t="s">
        <v>774</v>
      </c>
      <c r="C103" s="19" t="s">
        <v>775</v>
      </c>
      <c r="D103" s="19" t="s">
        <v>2</v>
      </c>
      <c r="E103" s="19" t="s">
        <v>604</v>
      </c>
    </row>
    <row r="104" ht="33.75" customHeight="1">
      <c r="A104" s="17" t="s">
        <v>36</v>
      </c>
      <c r="B104" s="17" t="s">
        <v>634</v>
      </c>
      <c r="C104" s="19" t="s">
        <v>776</v>
      </c>
      <c r="D104" s="19" t="s">
        <v>2</v>
      </c>
      <c r="E104" s="19" t="s">
        <v>604</v>
      </c>
    </row>
    <row r="105" ht="33.75" customHeight="1">
      <c r="A105" s="17" t="s">
        <v>254</v>
      </c>
      <c r="B105" s="17" t="s">
        <v>777</v>
      </c>
      <c r="C105" s="19" t="s">
        <v>778</v>
      </c>
      <c r="D105" s="19" t="s">
        <v>2</v>
      </c>
      <c r="E105" s="19" t="s">
        <v>604</v>
      </c>
    </row>
    <row r="106" ht="33.75" customHeight="1">
      <c r="A106" s="17" t="s">
        <v>254</v>
      </c>
      <c r="B106" s="17" t="s">
        <v>779</v>
      </c>
      <c r="C106" s="19" t="s">
        <v>728</v>
      </c>
      <c r="D106" s="19" t="s">
        <v>2</v>
      </c>
      <c r="E106" s="19" t="s">
        <v>604</v>
      </c>
    </row>
    <row r="107" ht="33.75" customHeight="1">
      <c r="A107" s="17" t="s">
        <v>254</v>
      </c>
      <c r="B107" s="17" t="s">
        <v>780</v>
      </c>
      <c r="C107" s="19" t="s">
        <v>781</v>
      </c>
      <c r="D107" s="19" t="s">
        <v>2</v>
      </c>
      <c r="E107" s="19" t="s">
        <v>604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A164395-8EA8-4A2C-A060-8BBE77E0C920}" filter="1" showAutoFilter="1">
      <autoFilter ref="$A$3:$E$107"/>
    </customSheetView>
  </customSheetViews>
  <mergeCells count="1">
    <mergeCell ref="A1:H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